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los\Documents\MILOS USB\vo2021\Ochodnica\Most\"/>
    </mc:Choice>
  </mc:AlternateContent>
  <bookViews>
    <workbookView xWindow="-120" yWindow="-120" windowWidth="29040" windowHeight="15840" firstSheet="1" activeTab="1"/>
  </bookViews>
  <sheets>
    <sheet name="Rekapitulácia stavby" sheetId="1" state="veryHidden" r:id="rId1"/>
    <sheet name="SO-1 - Rekonštrukcia most..." sheetId="2" r:id="rId2"/>
  </sheets>
  <definedNames>
    <definedName name="_xlnm._FilterDatabase" localSheetId="1" hidden="1">'SO-1 - Rekonštrukcia most...'!$C$125:$K$236</definedName>
    <definedName name="_xlnm.Print_Titles" localSheetId="0">'Rekapitulácia stavby'!$92:$92</definedName>
    <definedName name="_xlnm.Print_Titles" localSheetId="1">'SO-1 - Rekonštrukcia most...'!$125:$125</definedName>
    <definedName name="_xlnm.Print_Area" localSheetId="0">'Rekapitulácia stavby'!$D$4:$AO$76,'Rekapitulácia stavby'!$C$82:$AQ$96</definedName>
    <definedName name="_xlnm.Print_Area" localSheetId="1">'SO-1 - Rekonštrukcia most...'!$C$113:$J$236</definedName>
  </definedNames>
  <calcPr calcId="181029"/>
</workbook>
</file>

<file path=xl/calcChain.xml><?xml version="1.0" encoding="utf-8"?>
<calcChain xmlns="http://schemas.openxmlformats.org/spreadsheetml/2006/main">
  <c r="J37" i="2" l="1"/>
  <c r="J36" i="2"/>
  <c r="AY95" i="1"/>
  <c r="J35" i="2"/>
  <c r="AX95" i="1" s="1"/>
  <c r="BI235" i="2"/>
  <c r="BH235" i="2"/>
  <c r="BG235" i="2"/>
  <c r="BE235" i="2"/>
  <c r="T235" i="2"/>
  <c r="R235" i="2"/>
  <c r="P235" i="2"/>
  <c r="BI233" i="2"/>
  <c r="BH233" i="2"/>
  <c r="BG233" i="2"/>
  <c r="BE233" i="2"/>
  <c r="T233" i="2"/>
  <c r="R233" i="2"/>
  <c r="P233" i="2"/>
  <c r="BI230" i="2"/>
  <c r="BH230" i="2"/>
  <c r="BG230" i="2"/>
  <c r="BE230" i="2"/>
  <c r="T230" i="2"/>
  <c r="R230" i="2"/>
  <c r="P230" i="2"/>
  <c r="BI229" i="2"/>
  <c r="BH229" i="2"/>
  <c r="BG229" i="2"/>
  <c r="BE229" i="2"/>
  <c r="T229" i="2"/>
  <c r="R229" i="2"/>
  <c r="P229" i="2"/>
  <c r="BI228" i="2"/>
  <c r="BH228" i="2"/>
  <c r="BG228" i="2"/>
  <c r="BE228" i="2"/>
  <c r="T228" i="2"/>
  <c r="R228" i="2"/>
  <c r="P228" i="2"/>
  <c r="BI227" i="2"/>
  <c r="BH227" i="2"/>
  <c r="BG227" i="2"/>
  <c r="BE227" i="2"/>
  <c r="T227" i="2"/>
  <c r="R227" i="2"/>
  <c r="P227" i="2"/>
  <c r="BI224" i="2"/>
  <c r="BH224" i="2"/>
  <c r="BG224" i="2"/>
  <c r="BE224" i="2"/>
  <c r="T224" i="2"/>
  <c r="R224" i="2"/>
  <c r="P224" i="2"/>
  <c r="BI223" i="2"/>
  <c r="BH223" i="2"/>
  <c r="BG223" i="2"/>
  <c r="BE223" i="2"/>
  <c r="T223" i="2"/>
  <c r="R223" i="2"/>
  <c r="P223" i="2"/>
  <c r="BI221" i="2"/>
  <c r="BH221" i="2"/>
  <c r="BG221" i="2"/>
  <c r="BE221" i="2"/>
  <c r="T221" i="2"/>
  <c r="R221" i="2"/>
  <c r="P221" i="2"/>
  <c r="BI220" i="2"/>
  <c r="BH220" i="2"/>
  <c r="BG220" i="2"/>
  <c r="BE220" i="2"/>
  <c r="T220" i="2"/>
  <c r="R220" i="2"/>
  <c r="P220" i="2"/>
  <c r="BI219" i="2"/>
  <c r="BH219" i="2"/>
  <c r="BG219" i="2"/>
  <c r="BE219" i="2"/>
  <c r="T219" i="2"/>
  <c r="R219" i="2"/>
  <c r="P219" i="2"/>
  <c r="BI218" i="2"/>
  <c r="BH218" i="2"/>
  <c r="BG218" i="2"/>
  <c r="BE218" i="2"/>
  <c r="T218" i="2"/>
  <c r="R218" i="2"/>
  <c r="P218" i="2"/>
  <c r="BI217" i="2"/>
  <c r="BH217" i="2"/>
  <c r="BG217" i="2"/>
  <c r="BE217" i="2"/>
  <c r="T217" i="2"/>
  <c r="R217" i="2"/>
  <c r="P217" i="2"/>
  <c r="BI216" i="2"/>
  <c r="BH216" i="2"/>
  <c r="BG216" i="2"/>
  <c r="BE216" i="2"/>
  <c r="T216" i="2"/>
  <c r="R216" i="2"/>
  <c r="P216" i="2"/>
  <c r="BI215" i="2"/>
  <c r="BH215" i="2"/>
  <c r="BG215" i="2"/>
  <c r="BE215" i="2"/>
  <c r="T215" i="2"/>
  <c r="R215" i="2"/>
  <c r="P215" i="2"/>
  <c r="BI211" i="2"/>
  <c r="BH211" i="2"/>
  <c r="BG211" i="2"/>
  <c r="BE211" i="2"/>
  <c r="T211" i="2"/>
  <c r="R211" i="2"/>
  <c r="P211" i="2"/>
  <c r="BI210" i="2"/>
  <c r="BH210" i="2"/>
  <c r="BG210" i="2"/>
  <c r="BE210" i="2"/>
  <c r="T210" i="2"/>
  <c r="R210" i="2"/>
  <c r="P210" i="2"/>
  <c r="BI208" i="2"/>
  <c r="BH208" i="2"/>
  <c r="BG208" i="2"/>
  <c r="BE208" i="2"/>
  <c r="T208" i="2"/>
  <c r="R208" i="2"/>
  <c r="P208" i="2"/>
  <c r="BI206" i="2"/>
  <c r="BH206" i="2"/>
  <c r="BG206" i="2"/>
  <c r="BE206" i="2"/>
  <c r="T206" i="2"/>
  <c r="R206" i="2"/>
  <c r="P206" i="2"/>
  <c r="BI204" i="2"/>
  <c r="BH204" i="2"/>
  <c r="BG204" i="2"/>
  <c r="BE204" i="2"/>
  <c r="T204" i="2"/>
  <c r="R204" i="2"/>
  <c r="P204" i="2"/>
  <c r="BI203" i="2"/>
  <c r="BH203" i="2"/>
  <c r="BG203" i="2"/>
  <c r="BE203" i="2"/>
  <c r="T203" i="2"/>
  <c r="R203" i="2"/>
  <c r="P203" i="2"/>
  <c r="BI198" i="2"/>
  <c r="BH198" i="2"/>
  <c r="BG198" i="2"/>
  <c r="BE198" i="2"/>
  <c r="T198" i="2"/>
  <c r="R198" i="2"/>
  <c r="P198" i="2"/>
  <c r="BI193" i="2"/>
  <c r="BH193" i="2"/>
  <c r="BG193" i="2"/>
  <c r="BE193" i="2"/>
  <c r="T193" i="2"/>
  <c r="R193" i="2"/>
  <c r="P193" i="2"/>
  <c r="BI192" i="2"/>
  <c r="BH192" i="2"/>
  <c r="BG192" i="2"/>
  <c r="BE192" i="2"/>
  <c r="T192" i="2"/>
  <c r="R192" i="2"/>
  <c r="P192" i="2"/>
  <c r="BI190" i="2"/>
  <c r="BH190" i="2"/>
  <c r="BG190" i="2"/>
  <c r="BE190" i="2"/>
  <c r="T190" i="2"/>
  <c r="R190" i="2"/>
  <c r="P190" i="2"/>
  <c r="BI189" i="2"/>
  <c r="BH189" i="2"/>
  <c r="BG189" i="2"/>
  <c r="BE189" i="2"/>
  <c r="T189" i="2"/>
  <c r="R189" i="2"/>
  <c r="P189" i="2"/>
  <c r="BI187" i="2"/>
  <c r="BH187" i="2"/>
  <c r="BG187" i="2"/>
  <c r="BE187" i="2"/>
  <c r="T187" i="2"/>
  <c r="R187" i="2"/>
  <c r="P187" i="2"/>
  <c r="BI185" i="2"/>
  <c r="BH185" i="2"/>
  <c r="BG185" i="2"/>
  <c r="BE185" i="2"/>
  <c r="T185" i="2"/>
  <c r="R185" i="2"/>
  <c r="P185" i="2"/>
  <c r="BI183" i="2"/>
  <c r="BH183" i="2"/>
  <c r="BG183" i="2"/>
  <c r="BE183" i="2"/>
  <c r="T183" i="2"/>
  <c r="R183" i="2"/>
  <c r="P183" i="2"/>
  <c r="BI178" i="2"/>
  <c r="BH178" i="2"/>
  <c r="BG178" i="2"/>
  <c r="BE178" i="2"/>
  <c r="T178" i="2"/>
  <c r="R178" i="2"/>
  <c r="P178" i="2"/>
  <c r="BI175" i="2"/>
  <c r="BH175" i="2"/>
  <c r="BG175" i="2"/>
  <c r="BE175" i="2"/>
  <c r="T175" i="2"/>
  <c r="T174" i="2" s="1"/>
  <c r="R175" i="2"/>
  <c r="R174" i="2"/>
  <c r="P175" i="2"/>
  <c r="P174" i="2" s="1"/>
  <c r="BI173" i="2"/>
  <c r="BH173" i="2"/>
  <c r="BG173" i="2"/>
  <c r="BE173" i="2"/>
  <c r="T173" i="2"/>
  <c r="R173" i="2"/>
  <c r="P173" i="2"/>
  <c r="BI171" i="2"/>
  <c r="BH171" i="2"/>
  <c r="BG171" i="2"/>
  <c r="BE171" i="2"/>
  <c r="T171" i="2"/>
  <c r="R171" i="2"/>
  <c r="P171" i="2"/>
  <c r="BI170" i="2"/>
  <c r="BH170" i="2"/>
  <c r="BG170" i="2"/>
  <c r="BE170" i="2"/>
  <c r="T170" i="2"/>
  <c r="R170" i="2"/>
  <c r="P170" i="2"/>
  <c r="BI165" i="2"/>
  <c r="BH165" i="2"/>
  <c r="BG165" i="2"/>
  <c r="BE165" i="2"/>
  <c r="T165" i="2"/>
  <c r="R165" i="2"/>
  <c r="P165" i="2"/>
  <c r="BI163" i="2"/>
  <c r="BH163" i="2"/>
  <c r="BG163" i="2"/>
  <c r="BE163" i="2"/>
  <c r="T163" i="2"/>
  <c r="R163" i="2"/>
  <c r="P163" i="2"/>
  <c r="BI161" i="2"/>
  <c r="BH161" i="2"/>
  <c r="BG161" i="2"/>
  <c r="BE161" i="2"/>
  <c r="T161" i="2"/>
  <c r="R161" i="2"/>
  <c r="P161" i="2"/>
  <c r="BI159" i="2"/>
  <c r="BH159" i="2"/>
  <c r="BG159" i="2"/>
  <c r="BE159" i="2"/>
  <c r="T159" i="2"/>
  <c r="R159" i="2"/>
  <c r="P159" i="2"/>
  <c r="BI158" i="2"/>
  <c r="BH158" i="2"/>
  <c r="BG158" i="2"/>
  <c r="BE158" i="2"/>
  <c r="T158" i="2"/>
  <c r="R158" i="2"/>
  <c r="P158" i="2"/>
  <c r="BI156" i="2"/>
  <c r="BH156" i="2"/>
  <c r="BG156" i="2"/>
  <c r="BE156" i="2"/>
  <c r="T156" i="2"/>
  <c r="R156" i="2"/>
  <c r="P156" i="2"/>
  <c r="BI155" i="2"/>
  <c r="BH155" i="2"/>
  <c r="BG155" i="2"/>
  <c r="BE155" i="2"/>
  <c r="T155" i="2"/>
  <c r="R155" i="2"/>
  <c r="P155" i="2"/>
  <c r="BI153" i="2"/>
  <c r="BH153" i="2"/>
  <c r="BG153" i="2"/>
  <c r="BE153" i="2"/>
  <c r="T153" i="2"/>
  <c r="R153" i="2"/>
  <c r="P153" i="2"/>
  <c r="BI148" i="2"/>
  <c r="BH148" i="2"/>
  <c r="BG148" i="2"/>
  <c r="BE148" i="2"/>
  <c r="T148" i="2"/>
  <c r="R148" i="2"/>
  <c r="P148" i="2"/>
  <c r="BI146" i="2"/>
  <c r="BH146" i="2"/>
  <c r="BG146" i="2"/>
  <c r="BE146" i="2"/>
  <c r="T146" i="2"/>
  <c r="R146" i="2"/>
  <c r="P146" i="2"/>
  <c r="BI140" i="2"/>
  <c r="BH140" i="2"/>
  <c r="BG140" i="2"/>
  <c r="BE140" i="2"/>
  <c r="T140" i="2"/>
  <c r="R140" i="2"/>
  <c r="P140" i="2"/>
  <c r="BI138" i="2"/>
  <c r="BH138" i="2"/>
  <c r="BG138" i="2"/>
  <c r="BE138" i="2"/>
  <c r="T138" i="2"/>
  <c r="R138" i="2"/>
  <c r="P138" i="2"/>
  <c r="BI137" i="2"/>
  <c r="BH137" i="2"/>
  <c r="BG137" i="2"/>
  <c r="BE137" i="2"/>
  <c r="T137" i="2"/>
  <c r="R137" i="2"/>
  <c r="P137" i="2"/>
  <c r="BI136" i="2"/>
  <c r="BH136" i="2"/>
  <c r="BG136" i="2"/>
  <c r="BE136" i="2"/>
  <c r="T136" i="2"/>
  <c r="R136" i="2"/>
  <c r="P136" i="2"/>
  <c r="BI135" i="2"/>
  <c r="BH135" i="2"/>
  <c r="BG135" i="2"/>
  <c r="BE135" i="2"/>
  <c r="T135" i="2"/>
  <c r="R135" i="2"/>
  <c r="P135" i="2"/>
  <c r="BI131" i="2"/>
  <c r="BH131" i="2"/>
  <c r="BG131" i="2"/>
  <c r="BE131" i="2"/>
  <c r="T131" i="2"/>
  <c r="R131" i="2"/>
  <c r="P131" i="2"/>
  <c r="BI130" i="2"/>
  <c r="BH130" i="2"/>
  <c r="BG130" i="2"/>
  <c r="BE130" i="2"/>
  <c r="T130" i="2"/>
  <c r="R130" i="2"/>
  <c r="P130" i="2"/>
  <c r="BI129" i="2"/>
  <c r="BH129" i="2"/>
  <c r="BG129" i="2"/>
  <c r="BE129" i="2"/>
  <c r="T129" i="2"/>
  <c r="R129" i="2"/>
  <c r="P129" i="2"/>
  <c r="F122" i="2"/>
  <c r="F120" i="2"/>
  <c r="E118" i="2"/>
  <c r="J92" i="2"/>
  <c r="J91" i="2"/>
  <c r="F91" i="2"/>
  <c r="F89" i="2"/>
  <c r="E87" i="2"/>
  <c r="J18" i="2"/>
  <c r="E18" i="2"/>
  <c r="J17" i="2"/>
  <c r="J12" i="2"/>
  <c r="E7" i="2"/>
  <c r="E116" i="2" s="1"/>
  <c r="L90" i="1"/>
  <c r="AM90" i="1"/>
  <c r="AM89" i="1"/>
  <c r="L89" i="1"/>
  <c r="AM87" i="1"/>
  <c r="L87" i="1"/>
  <c r="L85" i="1"/>
  <c r="L84" i="1"/>
  <c r="BK235" i="2"/>
  <c r="BK233" i="2"/>
  <c r="J229" i="2"/>
  <c r="BK218" i="2"/>
  <c r="BK215" i="2"/>
  <c r="J211" i="2"/>
  <c r="BK208" i="2"/>
  <c r="BK204" i="2"/>
  <c r="J203" i="2"/>
  <c r="J193" i="2"/>
  <c r="J192" i="2"/>
  <c r="BK190" i="2"/>
  <c r="BK189" i="2"/>
  <c r="J187" i="2"/>
  <c r="BK183" i="2"/>
  <c r="BK175" i="2"/>
  <c r="J171" i="2"/>
  <c r="BK159" i="2"/>
  <c r="BK155" i="2"/>
  <c r="J153" i="2"/>
  <c r="J148" i="2"/>
  <c r="BK146" i="2"/>
  <c r="J137" i="2"/>
  <c r="BK136" i="2"/>
  <c r="BK135" i="2"/>
  <c r="J131" i="2"/>
  <c r="J235" i="2"/>
  <c r="J233" i="2"/>
  <c r="BK230" i="2"/>
  <c r="J228" i="2"/>
  <c r="J227" i="2"/>
  <c r="BK224" i="2"/>
  <c r="BK223" i="2"/>
  <c r="J218" i="2"/>
  <c r="J217" i="2"/>
  <c r="BK216" i="2"/>
  <c r="BK210" i="2"/>
  <c r="BK206" i="2"/>
  <c r="BK193" i="2"/>
  <c r="J190" i="2"/>
  <c r="J189" i="2"/>
  <c r="BK187" i="2"/>
  <c r="J183" i="2"/>
  <c r="J178" i="2"/>
  <c r="BK173" i="2"/>
  <c r="BK170" i="2"/>
  <c r="BK165" i="2"/>
  <c r="BK161" i="2"/>
  <c r="BK158" i="2"/>
  <c r="J156" i="2"/>
  <c r="J155" i="2"/>
  <c r="J146" i="2"/>
  <c r="J140" i="2"/>
  <c r="J138" i="2"/>
  <c r="BK137" i="2"/>
  <c r="BK131" i="2"/>
  <c r="BK130" i="2"/>
  <c r="J129" i="2"/>
  <c r="J230" i="2"/>
  <c r="BK229" i="2"/>
  <c r="BK228" i="2"/>
  <c r="BK227" i="2"/>
  <c r="J224" i="2"/>
  <c r="J223" i="2"/>
  <c r="BK221" i="2"/>
  <c r="J220" i="2"/>
  <c r="J219" i="2"/>
  <c r="BK217" i="2"/>
  <c r="J216" i="2"/>
  <c r="J215" i="2"/>
  <c r="BK211" i="2"/>
  <c r="J208" i="2"/>
  <c r="BK203" i="2"/>
  <c r="J198" i="2"/>
  <c r="BK192" i="2"/>
  <c r="J185" i="2"/>
  <c r="BK171" i="2"/>
  <c r="J170" i="2"/>
  <c r="J165" i="2"/>
  <c r="J163" i="2"/>
  <c r="J161" i="2"/>
  <c r="BK140" i="2"/>
  <c r="J136" i="2"/>
  <c r="J130" i="2"/>
  <c r="J221" i="2"/>
  <c r="BK220" i="2"/>
  <c r="BK219" i="2"/>
  <c r="J210" i="2"/>
  <c r="J206" i="2"/>
  <c r="J204" i="2"/>
  <c r="BK198" i="2"/>
  <c r="BK185" i="2"/>
  <c r="BK178" i="2"/>
  <c r="J175" i="2"/>
  <c r="J173" i="2"/>
  <c r="BK163" i="2"/>
  <c r="J159" i="2"/>
  <c r="J158" i="2"/>
  <c r="BK156" i="2"/>
  <c r="BK153" i="2"/>
  <c r="BK148" i="2"/>
  <c r="BK138" i="2"/>
  <c r="J135" i="2"/>
  <c r="BK129" i="2"/>
  <c r="AS94" i="1"/>
  <c r="T128" i="2" l="1"/>
  <c r="BK128" i="2"/>
  <c r="J128" i="2" s="1"/>
  <c r="J98" i="2" s="1"/>
  <c r="P128" i="2"/>
  <c r="R128" i="2"/>
  <c r="BK139" i="2"/>
  <c r="J139" i="2"/>
  <c r="J99" i="2" s="1"/>
  <c r="P139" i="2"/>
  <c r="R139" i="2"/>
  <c r="T139" i="2"/>
  <c r="BK162" i="2"/>
  <c r="J162" i="2"/>
  <c r="J100" i="2" s="1"/>
  <c r="P162" i="2"/>
  <c r="R162" i="2"/>
  <c r="T162" i="2"/>
  <c r="BK177" i="2"/>
  <c r="J177" i="2"/>
  <c r="J102" i="2" s="1"/>
  <c r="P177" i="2"/>
  <c r="R177" i="2"/>
  <c r="T177" i="2"/>
  <c r="BK222" i="2"/>
  <c r="J222" i="2"/>
  <c r="J103" i="2" s="1"/>
  <c r="P222" i="2"/>
  <c r="R222" i="2"/>
  <c r="T222" i="2"/>
  <c r="BK226" i="2"/>
  <c r="J226" i="2"/>
  <c r="J104" i="2" s="1"/>
  <c r="P226" i="2"/>
  <c r="R226" i="2"/>
  <c r="T226" i="2"/>
  <c r="BK232" i="2"/>
  <c r="J232" i="2"/>
  <c r="J106" i="2" s="1"/>
  <c r="P232" i="2"/>
  <c r="P231" i="2" s="1"/>
  <c r="R232" i="2"/>
  <c r="R231" i="2" s="1"/>
  <c r="T232" i="2"/>
  <c r="T231" i="2" s="1"/>
  <c r="F92" i="2"/>
  <c r="BF137" i="2"/>
  <c r="BF155" i="2"/>
  <c r="BF159" i="2"/>
  <c r="BF163" i="2"/>
  <c r="BF171" i="2"/>
  <c r="BF173" i="2"/>
  <c r="BF189" i="2"/>
  <c r="BF204" i="2"/>
  <c r="BF206" i="2"/>
  <c r="BF219" i="2"/>
  <c r="BF223" i="2"/>
  <c r="E85" i="2"/>
  <c r="J89" i="2"/>
  <c r="BF146" i="2"/>
  <c r="BF153" i="2"/>
  <c r="BF156" i="2"/>
  <c r="BF161" i="2"/>
  <c r="BF165" i="2"/>
  <c r="BF178" i="2"/>
  <c r="BF193" i="2"/>
  <c r="BF208" i="2"/>
  <c r="BF211" i="2"/>
  <c r="BF215" i="2"/>
  <c r="BF216" i="2"/>
  <c r="BF218" i="2"/>
  <c r="BF229" i="2"/>
  <c r="BF131" i="2"/>
  <c r="BF140" i="2"/>
  <c r="BF175" i="2"/>
  <c r="BF183" i="2"/>
  <c r="BF185" i="2"/>
  <c r="BF187" i="2"/>
  <c r="BF220" i="2"/>
  <c r="BF228" i="2"/>
  <c r="BF233" i="2"/>
  <c r="BF235" i="2"/>
  <c r="BF129" i="2"/>
  <c r="BF130" i="2"/>
  <c r="BF135" i="2"/>
  <c r="BF136" i="2"/>
  <c r="BF138" i="2"/>
  <c r="BF148" i="2"/>
  <c r="BF158" i="2"/>
  <c r="BF170" i="2"/>
  <c r="BF190" i="2"/>
  <c r="BF192" i="2"/>
  <c r="BF198" i="2"/>
  <c r="BF203" i="2"/>
  <c r="BF210" i="2"/>
  <c r="BF217" i="2"/>
  <c r="BF221" i="2"/>
  <c r="BF224" i="2"/>
  <c r="BF227" i="2"/>
  <c r="BF230" i="2"/>
  <c r="BK174" i="2"/>
  <c r="J174" i="2"/>
  <c r="J101" i="2" s="1"/>
  <c r="F36" i="2"/>
  <c r="BC95" i="1" s="1"/>
  <c r="BC94" i="1" s="1"/>
  <c r="W32" i="1" s="1"/>
  <c r="F37" i="2"/>
  <c r="BD95" i="1" s="1"/>
  <c r="BD94" i="1" s="1"/>
  <c r="W33" i="1" s="1"/>
  <c r="F33" i="2"/>
  <c r="AZ95" i="1" s="1"/>
  <c r="AZ94" i="1" s="1"/>
  <c r="W29" i="1" s="1"/>
  <c r="F35" i="2"/>
  <c r="BB95" i="1" s="1"/>
  <c r="BB94" i="1" s="1"/>
  <c r="W31" i="1" s="1"/>
  <c r="J33" i="2"/>
  <c r="AV95" i="1" s="1"/>
  <c r="R127" i="2" l="1"/>
  <c r="R126" i="2" s="1"/>
  <c r="P127" i="2"/>
  <c r="P126" i="2" s="1"/>
  <c r="AU95" i="1" s="1"/>
  <c r="AU94" i="1" s="1"/>
  <c r="T127" i="2"/>
  <c r="T126" i="2" s="1"/>
  <c r="BK127" i="2"/>
  <c r="J127" i="2" s="1"/>
  <c r="J97" i="2" s="1"/>
  <c r="BK231" i="2"/>
  <c r="J231" i="2"/>
  <c r="J105" i="2" s="1"/>
  <c r="AY94" i="1"/>
  <c r="AX94" i="1"/>
  <c r="J34" i="2"/>
  <c r="AW95" i="1" s="1"/>
  <c r="AT95" i="1" s="1"/>
  <c r="AV94" i="1"/>
  <c r="AK29" i="1" s="1"/>
  <c r="F34" i="2"/>
  <c r="BA95" i="1" s="1"/>
  <c r="BA94" i="1" s="1"/>
  <c r="W30" i="1" s="1"/>
  <c r="BK126" i="2" l="1"/>
  <c r="J126" i="2" s="1"/>
  <c r="J96" i="2" s="1"/>
  <c r="AW94" i="1"/>
  <c r="AK30" i="1" s="1"/>
  <c r="AT94" i="1" l="1"/>
  <c r="J30" i="2"/>
  <c r="AG95" i="1" s="1"/>
  <c r="AG94" i="1" s="1"/>
  <c r="AK26" i="1" s="1"/>
  <c r="AK35" i="1" s="1"/>
  <c r="AN94" i="1" l="1"/>
  <c r="AN95" i="1"/>
  <c r="J39" i="2"/>
</calcChain>
</file>

<file path=xl/sharedStrings.xml><?xml version="1.0" encoding="utf-8"?>
<sst xmlns="http://schemas.openxmlformats.org/spreadsheetml/2006/main" count="1488" uniqueCount="373">
  <si>
    <t>Export Komplet</t>
  </si>
  <si>
    <t/>
  </si>
  <si>
    <t>2.0</t>
  </si>
  <si>
    <t>False</t>
  </si>
  <si>
    <t>{194b82ce-9e10-46a5-a605-507b1e8c3192}</t>
  </si>
  <si>
    <t>&gt;&gt;  skryté stĺpce  &lt;&lt;</t>
  </si>
  <si>
    <t>0,001</t>
  </si>
  <si>
    <t>20</t>
  </si>
  <si>
    <t>REKAPITULÁCIA STAVBY</t>
  </si>
  <si>
    <t>v ---  nižšie sa nachádzajú doplnkové a pomocné údaje k zostavám  --- v</t>
  </si>
  <si>
    <t>Návod na vyplnenie</t>
  </si>
  <si>
    <t>Kód:</t>
  </si>
  <si>
    <t>SL20210202</t>
  </si>
  <si>
    <t>Meniť je možné iba bunky so žltým podfarbením!_x000D_
_x000D_
1) na prvom liste Rekapitulácie stavby vyplňte v zostave_x000D_
_x000D_
    a) Rekapitulácia stavby_x000D_
       - údaje o Zhotoviteľovi_x000D_
         (prenesú sa do ostatných zostáv aj v iných listoch)_x000D_
_x000D_
    b) Rekapitulácia objektov stavby_x000D_
       - potrebné Ostatné náklady_x000D_
_x000D_
2) na vybraných listoch vyplňte v zostave_x000D_
_x000D_
    a) Krycí list_x000D_
       - údaje o Zhotoviteľovi, pokiaľ sa líšia od údajov o Zhotoviteľovi na Rekapitulácii stavby_x000D_
         (údaje se prenesú do ostatných zostav v danom liste)_x000D_
_x000D_
    b) Rekapitulácia rozpočtu_x000D_
       - potrebné Ostatné náklady_x000D_
_x000D_
    c) Celkové náklady za stavbu_x000D_
       - ceny na položkách_x000D_
       - množstvo, pokiaľ má žlté podfarbenie_x000D_
       - a v prípade potreby poznámku (tá je v skrytom stĺpci)</t>
  </si>
  <si>
    <t>Stavba:</t>
  </si>
  <si>
    <t>Most na MK v Ochodnici</t>
  </si>
  <si>
    <t>JKSO:</t>
  </si>
  <si>
    <t>KS:</t>
  </si>
  <si>
    <t>Miesto:</t>
  </si>
  <si>
    <t>Ochodnica</t>
  </si>
  <si>
    <t>Dátum:</t>
  </si>
  <si>
    <t>2. 2. 2021</t>
  </si>
  <si>
    <t>Objednávateľ:</t>
  </si>
  <si>
    <t>IČO:</t>
  </si>
  <si>
    <t>Obec Ochodnica</t>
  </si>
  <si>
    <t>IČ DPH:</t>
  </si>
  <si>
    <t>Zhotoviteľ:</t>
  </si>
  <si>
    <t>Vyplň údaj</t>
  </si>
  <si>
    <t>Projektant:</t>
  </si>
  <si>
    <t>50567004</t>
  </si>
  <si>
    <t>TASUM, s.r.o.</t>
  </si>
  <si>
    <t>SK 2120376104</t>
  </si>
  <si>
    <t>True</t>
  </si>
  <si>
    <t>0,01</t>
  </si>
  <si>
    <t>Spracovateľ:</t>
  </si>
  <si>
    <t xml:space="preserve"> </t>
  </si>
  <si>
    <t>Poznámka:</t>
  </si>
  <si>
    <t>Cena bez DPH</t>
  </si>
  <si>
    <t>Sadzba dane</t>
  </si>
  <si>
    <t>Základ dane</t>
  </si>
  <si>
    <t>Výška dane</t>
  </si>
  <si>
    <t>DPH</t>
  </si>
  <si>
    <t>základná</t>
  </si>
  <si>
    <t>znížená</t>
  </si>
  <si>
    <t>zákl. prenesená</t>
  </si>
  <si>
    <t>zníž. prenesená</t>
  </si>
  <si>
    <t>nulová</t>
  </si>
  <si>
    <t>Cena s DPH</t>
  </si>
  <si>
    <t>v</t>
  </si>
  <si>
    <t>EUR</t>
  </si>
  <si>
    <t>Projektant</t>
  </si>
  <si>
    <t>Spracovateľ</t>
  </si>
  <si>
    <t>Dátum a podpis:</t>
  </si>
  <si>
    <t>Pečiatka</t>
  </si>
  <si>
    <t>Objednávateľ</t>
  </si>
  <si>
    <t>Zhotoviteľ</t>
  </si>
  <si>
    <t>REKAPITULÁCIA OBJEKTOV STAVBY</t>
  </si>
  <si>
    <t>Informatívne údaje z listov zákaziek</t>
  </si>
  <si>
    <t>Kód</t>
  </si>
  <si>
    <t>Popis</t>
  </si>
  <si>
    <t>Cena bez DPH [EUR]</t>
  </si>
  <si>
    <t>Cena s DPH [EUR]</t>
  </si>
  <si>
    <t>Typ</t>
  </si>
  <si>
    <t>z toho Ostat._x000D_
náklady [EUR]</t>
  </si>
  <si>
    <t>DPH [EUR]</t>
  </si>
  <si>
    <t>Normohodiny [h]</t>
  </si>
  <si>
    <t>DPH základná [EUR]</t>
  </si>
  <si>
    <t>DPH znížená [EUR]</t>
  </si>
  <si>
    <t>DPH základná prenesená_x000D_
[EUR]</t>
  </si>
  <si>
    <t>DPH znížená prenesená_x000D_
[EUR]</t>
  </si>
  <si>
    <t>Základňa_x000D_
DPH základná</t>
  </si>
  <si>
    <t>Základňa_x000D_
DPH znížená</t>
  </si>
  <si>
    <t>Základňa_x000D_
DPH zákl. prenesená</t>
  </si>
  <si>
    <t>Základňa_x000D_
DPH zníž. prenesená</t>
  </si>
  <si>
    <t>Základňa_x000D_
DPH nulová</t>
  </si>
  <si>
    <t>Náklady z rozpočtov</t>
  </si>
  <si>
    <t>D</t>
  </si>
  <si>
    <t>0</t>
  </si>
  <si>
    <t>###NOIMPORT###</t>
  </si>
  <si>
    <t>IMPORT</t>
  </si>
  <si>
    <t>{00000000-0000-0000-0000-000000000000}</t>
  </si>
  <si>
    <t>/</t>
  </si>
  <si>
    <t>SO-1</t>
  </si>
  <si>
    <t>Rekonštrukcia mosta v obci Ochodnica pri Černoškovej</t>
  </si>
  <si>
    <t>STA</t>
  </si>
  <si>
    <t>1</t>
  </si>
  <si>
    <t>{b4e0e101-5bd7-4522-a55e-6870f9c7a615}</t>
  </si>
  <si>
    <t>KRYCÍ LIST ROZPOČTU</t>
  </si>
  <si>
    <t>Objekt:</t>
  </si>
  <si>
    <t>SO-1 - Rekonštrukcia mosta v obci Ochodnica pri Černoškovej</t>
  </si>
  <si>
    <t>36421189</t>
  </si>
  <si>
    <t>BISin s.r.o.</t>
  </si>
  <si>
    <t>SK2021854571</t>
  </si>
  <si>
    <t>REKAPITULÁCIA ROZPOČTU</t>
  </si>
  <si>
    <t>Kód dielu - Popis</t>
  </si>
  <si>
    <t>Cena celkom [EUR]</t>
  </si>
  <si>
    <t>Náklady z rozpočtu</t>
  </si>
  <si>
    <t>-1</t>
  </si>
  <si>
    <t xml:space="preserve">HSV - Práce a dodávky HSV   </t>
  </si>
  <si>
    <t xml:space="preserve">    1 - Zemné práce   </t>
  </si>
  <si>
    <t xml:space="preserve">    2 - Zakladanie   </t>
  </si>
  <si>
    <t xml:space="preserve">    3 - Zvislé a kompletné konštrukcie   </t>
  </si>
  <si>
    <t xml:space="preserve">    4 - Vodorovné konštrukcie   </t>
  </si>
  <si>
    <t xml:space="preserve">    5 - Komunikácie   </t>
  </si>
  <si>
    <t xml:space="preserve">    9 - Ostatné konštrukcie a práce   </t>
  </si>
  <si>
    <t xml:space="preserve">    OST - Ostatné   </t>
  </si>
  <si>
    <t xml:space="preserve">PSV - Práce a dodávky PSV   </t>
  </si>
  <si>
    <t xml:space="preserve">    783 - Dokončovacie práce - nátery   </t>
  </si>
  <si>
    <t>PČ</t>
  </si>
  <si>
    <t>MJ</t>
  </si>
  <si>
    <t>Množstvo</t>
  </si>
  <si>
    <t>J.cena [EUR]</t>
  </si>
  <si>
    <t>Cenová sústava</t>
  </si>
  <si>
    <t>J. Nh [h]</t>
  </si>
  <si>
    <t>Nh celkom [h]</t>
  </si>
  <si>
    <t>J. hmotnosť [t]</t>
  </si>
  <si>
    <t>Hmotnosť celkom [t]</t>
  </si>
  <si>
    <t>J. suť [t]</t>
  </si>
  <si>
    <t>Suť Celkom [t]</t>
  </si>
  <si>
    <t>HSV</t>
  </si>
  <si>
    <t xml:space="preserve">Práce a dodávky HSV   </t>
  </si>
  <si>
    <t>ROZPOCET</t>
  </si>
  <si>
    <t xml:space="preserve">Zemné práce   </t>
  </si>
  <si>
    <t>K</t>
  </si>
  <si>
    <t>111201101</t>
  </si>
  <si>
    <t>Odstránenie krovín a stromov s koreňom o D kmeňa do 100 mm s odprataním do 50 m, do 1000 m2</t>
  </si>
  <si>
    <t>m2</t>
  </si>
  <si>
    <t>4</t>
  </si>
  <si>
    <t>2</t>
  </si>
  <si>
    <t>115101201</t>
  </si>
  <si>
    <t>Čerpanie vody na dopravnú výšku do 10 m s priemerným prítokom litrov za minútu nad 100 do 500 l</t>
  </si>
  <si>
    <t>hod</t>
  </si>
  <si>
    <t>8</t>
  </si>
  <si>
    <t>3</t>
  </si>
  <si>
    <t>122201101</t>
  </si>
  <si>
    <t>Odkopávky a prekopávky nezapažené s prehod. do 3 m alebo nalož. v hornine 3 do 100 m3</t>
  </si>
  <si>
    <t>m3</t>
  </si>
  <si>
    <t>12</t>
  </si>
  <si>
    <t>VV</t>
  </si>
  <si>
    <t xml:space="preserve">"sanácia spodnej stavby"  (0,4*0,5*4,7)*2   </t>
  </si>
  <si>
    <t>"vyčistenie okolia krídiel" 2,5*4,7*0,5</t>
  </si>
  <si>
    <t xml:space="preserve">Súčet   </t>
  </si>
  <si>
    <t>122201109</t>
  </si>
  <si>
    <t>Príplatok k cenám za lepivosť horniny</t>
  </si>
  <si>
    <t>14</t>
  </si>
  <si>
    <t>5</t>
  </si>
  <si>
    <t>115101301</t>
  </si>
  <si>
    <t>Pohotovosť záložnej čerpacej súpravy do výšky 10 m, s prímerným prítokom do 500 l/min.</t>
  </si>
  <si>
    <t>deň</t>
  </si>
  <si>
    <t>10</t>
  </si>
  <si>
    <t>6</t>
  </si>
  <si>
    <t>162501102</t>
  </si>
  <si>
    <t>Vodorovné premiestnenie výkopku po spevnenej ceste z horniny tr.1-4, do 100 m3 na vzdialenosť do 3000 m</t>
  </si>
  <si>
    <t>16</t>
  </si>
  <si>
    <t>7</t>
  </si>
  <si>
    <t>167101101</t>
  </si>
  <si>
    <t>Nakladanie neuľahnutého výkopku z hornín 1 až 4 do 100 m3</t>
  </si>
  <si>
    <t xml:space="preserve">Zakladanie   </t>
  </si>
  <si>
    <t>216904112</t>
  </si>
  <si>
    <t>Očistenie plôch tlakovou vodou stien akéhokoľvek muriva a rubu klenieb</t>
  </si>
  <si>
    <t>22</t>
  </si>
  <si>
    <t>"mostovka"  3,5*4,5</t>
  </si>
  <si>
    <t>"krídla po vode" 2,4*2,2</t>
  </si>
  <si>
    <t>"krídla proti vode"  2,0*2,2</t>
  </si>
  <si>
    <t xml:space="preserve">"spodná stavby " 2*(4,5*2,2)   </t>
  </si>
  <si>
    <t>9</t>
  </si>
  <si>
    <t>216904391</t>
  </si>
  <si>
    <t>Príplatok k cene za ručné dočistenie oceľovými kartáčmi</t>
  </si>
  <si>
    <t>24</t>
  </si>
  <si>
    <t xml:space="preserve">45,23/2 "50% dočistenie"   </t>
  </si>
  <si>
    <t>26230217_</t>
  </si>
  <si>
    <t>Vŕtanie dier  pre kotvenie zábradlia a strmeňov trámov T1 a T2</t>
  </si>
  <si>
    <t>m</t>
  </si>
  <si>
    <t>26</t>
  </si>
  <si>
    <t>"zábradlie"  28*0,15</t>
  </si>
  <si>
    <t>" strmene" 20*0,5+20*0,6</t>
  </si>
  <si>
    <t xml:space="preserve">"kotvenie KARI siete spodnej stavby" 40*0,4   </t>
  </si>
  <si>
    <t>11</t>
  </si>
  <si>
    <t>274311117</t>
  </si>
  <si>
    <t>Základové pásy, prahy, vence mostných konštrukcií z betónu prostého tr. C 25/30</t>
  </si>
  <si>
    <t>28</t>
  </si>
  <si>
    <t>"sanácia krídiel" 2*2</t>
  </si>
  <si>
    <t>289471119</t>
  </si>
  <si>
    <t xml:space="preserve">Sanácia trhlín armovaná injektáž </t>
  </si>
  <si>
    <t>265171820</t>
  </si>
  <si>
    <t>13</t>
  </si>
  <si>
    <t>959941151.S</t>
  </si>
  <si>
    <t xml:space="preserve">Chemická kotva s kotevným svorníkom tesnená chemickou ampulkou do betónu, ŽB, kameňa, s vyvŕtaním otvoru </t>
  </si>
  <si>
    <t>ks</t>
  </si>
  <si>
    <t>-1246779511</t>
  </si>
  <si>
    <t>"kotvenie  zábradlia a strmeňov" 80</t>
  </si>
  <si>
    <t>M</t>
  </si>
  <si>
    <t>245990000100</t>
  </si>
  <si>
    <t xml:space="preserve">Kapsula chemická kotevná technika do betónu, </t>
  </si>
  <si>
    <t>32</t>
  </si>
  <si>
    <t>15</t>
  </si>
  <si>
    <t>274354111</t>
  </si>
  <si>
    <t>Debnenie trámov T1 a T2 sanácia MK  - zhotovenie</t>
  </si>
  <si>
    <t>34</t>
  </si>
  <si>
    <t>"debnenie sanácie spodnej stavby" (0,4*6)*2  +((0,255+0,4)*8)*2</t>
  </si>
  <si>
    <t>274354211</t>
  </si>
  <si>
    <t>Debnenie trámov T1 a T2 sanácia MK - odstránenie</t>
  </si>
  <si>
    <t>36</t>
  </si>
  <si>
    <t xml:space="preserve">Zvislé a kompletné konštrukcie   </t>
  </si>
  <si>
    <t>17</t>
  </si>
  <si>
    <t>317321119</t>
  </si>
  <si>
    <t>Mostové rímsy z betónu železového triedy C 35/45</t>
  </si>
  <si>
    <t>38</t>
  </si>
  <si>
    <t xml:space="preserve">((0,40*0,225)*14)*2   </t>
  </si>
  <si>
    <t>18</t>
  </si>
  <si>
    <t>317361216</t>
  </si>
  <si>
    <t>Výstuž mostných konštrukcií - ríms zo železového betónu z ocele zn. 10 505</t>
  </si>
  <si>
    <t>t</t>
  </si>
  <si>
    <t>40</t>
  </si>
  <si>
    <t>"D14"    0,252</t>
  </si>
  <si>
    <t xml:space="preserve">"D10"    0,067   </t>
  </si>
  <si>
    <t xml:space="preserve">"D12"    0,05   </t>
  </si>
  <si>
    <t>19</t>
  </si>
  <si>
    <t>313110006100.S</t>
  </si>
  <si>
    <t>Sieť KARI akosť BSt 500M KH 30 DIN 488 rozmer siete 3x2 m, veľkosť oka 100x100 mm, drôt D 6/6 mm</t>
  </si>
  <si>
    <t>-2077192079</t>
  </si>
  <si>
    <t>317353121</t>
  </si>
  <si>
    <t>Debnenie mostových ríms akéhokoľvek tvaru, priamych, zalomených alebo zakrivených-zhotovenie</t>
  </si>
  <si>
    <t>44</t>
  </si>
  <si>
    <t>((0,25+0,15+0,225)*14)*2</t>
  </si>
  <si>
    <t>21</t>
  </si>
  <si>
    <t>317353221</t>
  </si>
  <si>
    <t>Debnenie mostových ríms akéhokoľvek tvaru, priamych, zalomených alebo zakrivených-odstránenie</t>
  </si>
  <si>
    <t>46</t>
  </si>
  <si>
    <t xml:space="preserve">Vodorovné konštrukcie   </t>
  </si>
  <si>
    <t>457621411</t>
  </si>
  <si>
    <t>Úprava škár asfaltovou zálievkou pre všetky sklony do 1 kg zálievky na 1 m škáry</t>
  </si>
  <si>
    <t>48</t>
  </si>
  <si>
    <t>14*2</t>
  </si>
  <si>
    <t xml:space="preserve">Komunikácie   </t>
  </si>
  <si>
    <t>23</t>
  </si>
  <si>
    <t>919735111.S</t>
  </si>
  <si>
    <t>Rezanie existujúceho asfaltového krytu alebo podkladu hĺbky do 50 mm</t>
  </si>
  <si>
    <t>-2064261131</t>
  </si>
  <si>
    <t>"budovanie ríms" 6+8</t>
  </si>
  <si>
    <t xml:space="preserve">"pred mostom " 3   </t>
  </si>
  <si>
    <t>" za mostom " 3</t>
  </si>
  <si>
    <t>711341111</t>
  </si>
  <si>
    <t>Zhotovenie izolácie NAIP pritavením cestných mostoviek</t>
  </si>
  <si>
    <t>58</t>
  </si>
  <si>
    <t xml:space="preserve">" pod rímsami" (1,5+1,5)*10,2   </t>
  </si>
  <si>
    <t>25</t>
  </si>
  <si>
    <t>628320000199</t>
  </si>
  <si>
    <t>Pás asfaltový  pre spodné vrstvy hydroizolačných systémov mostovky</t>
  </si>
  <si>
    <t>60</t>
  </si>
  <si>
    <t xml:space="preserve">30,6*1,1   </t>
  </si>
  <si>
    <t>573411114</t>
  </si>
  <si>
    <t>Náter z asfaltu cestného 1,50 kg/m2</t>
  </si>
  <si>
    <t>62</t>
  </si>
  <si>
    <t>2,5*14,4</t>
  </si>
  <si>
    <t>27</t>
  </si>
  <si>
    <t>622211111</t>
  </si>
  <si>
    <t>Čistenie muriva podpier, pilierov, krídiel od machu a inej vegetácie</t>
  </si>
  <si>
    <t>66</t>
  </si>
  <si>
    <t>622463260</t>
  </si>
  <si>
    <t>Ochrana,čistenie a sanácia betonových konštrukcií, zvýšenie priľnavosti</t>
  </si>
  <si>
    <t>68</t>
  </si>
  <si>
    <t>"na moste"4,5*3,5</t>
  </si>
  <si>
    <t>29</t>
  </si>
  <si>
    <t>622463264</t>
  </si>
  <si>
    <t>Sanácia betónových konštrukcií , ochranný náter výstuže pred koróziou, .rep ochrana</t>
  </si>
  <si>
    <t>70</t>
  </si>
  <si>
    <t>30</t>
  </si>
  <si>
    <t>622661211</t>
  </si>
  <si>
    <t>Náter betónu mostu 1x impregnačný</t>
  </si>
  <si>
    <t>72</t>
  </si>
  <si>
    <t>"boky nosnej konštrukcie"(0,46*3,5)*2</t>
  </si>
  <si>
    <t xml:space="preserve">"nosná konštr. zo spodu"    2,6*4,5  </t>
  </si>
  <si>
    <t>"rímsy"     (0,13+0,40+0,145)*14</t>
  </si>
  <si>
    <t>31</t>
  </si>
  <si>
    <t>622661221</t>
  </si>
  <si>
    <t>Náter betónu mostu  2x ochranný</t>
  </si>
  <si>
    <t>74</t>
  </si>
  <si>
    <t>"rímsy"   (0,13+0,40+0,145)*14</t>
  </si>
  <si>
    <t>9998887</t>
  </si>
  <si>
    <t>Pružná náterová hmota, ochrana proti karbonatácii a prienikov solí a ďalších agresívnych splodín</t>
  </si>
  <si>
    <t>kg</t>
  </si>
  <si>
    <t>76</t>
  </si>
  <si>
    <t>33</t>
  </si>
  <si>
    <t>627471133.S</t>
  </si>
  <si>
    <t>Reprofilácia podhľadov sanačnou maltou, 2 vrstvy hr. 30 mm</t>
  </si>
  <si>
    <t>750655202</t>
  </si>
  <si>
    <t xml:space="preserve">"mostovka zo spodu" 4,5*3,5 </t>
  </si>
  <si>
    <t>627471152</t>
  </si>
  <si>
    <t>Reprofilácia stien sanačnou maltou, 1 vrstva hr.20 mm</t>
  </si>
  <si>
    <t>80</t>
  </si>
  <si>
    <t>"mostovka boky " (0,46*3,5)*2</t>
  </si>
  <si>
    <t>35</t>
  </si>
  <si>
    <t>627471331</t>
  </si>
  <si>
    <t>Vyrovnanie vodorovných plôch stierkou zo sanačnej malty, 1 vrstva hr.2 mm</t>
  </si>
  <si>
    <t>82</t>
  </si>
  <si>
    <t>4,4*2,6</t>
  </si>
  <si>
    <t>9100200</t>
  </si>
  <si>
    <t>Elektrocentrála 5 kW</t>
  </si>
  <si>
    <t>84</t>
  </si>
  <si>
    <t>37</t>
  </si>
  <si>
    <t>961051111</t>
  </si>
  <si>
    <t>Búranie mostných základov, muriva a pilierov alebo nosných konštrukcií zo železobetónu,  -2,40000t</t>
  </si>
  <si>
    <t>88</t>
  </si>
  <si>
    <t>"rímsy"(0,24*0,4)*14</t>
  </si>
  <si>
    <t>"mostovka "(0,60*1,0)*0,5</t>
  </si>
  <si>
    <t>966076141.S</t>
  </si>
  <si>
    <t>Odstránenie zvodidlového zábradlia alebo ich častí na mostoch betónových v celku,  -0,05400t</t>
  </si>
  <si>
    <t>1899188135</t>
  </si>
  <si>
    <t>39</t>
  </si>
  <si>
    <t>998212199</t>
  </si>
  <si>
    <t>Príplatok k cene za každých ďalších aj začatých 1000 m nad 1000 m</t>
  </si>
  <si>
    <t>94</t>
  </si>
  <si>
    <t>979081111</t>
  </si>
  <si>
    <t>Odvoz sutiny a vybúraných hmôt na skládku do 1 km</t>
  </si>
  <si>
    <t>574589389</t>
  </si>
  <si>
    <t>41</t>
  </si>
  <si>
    <t>979082111</t>
  </si>
  <si>
    <t>Vnútrostavenisková doprava sutiny a vybúraných hmôt do 10 m</t>
  </si>
  <si>
    <t>-2007315609</t>
  </si>
  <si>
    <t>42</t>
  </si>
  <si>
    <t>979082113</t>
  </si>
  <si>
    <t>Vodorovná doprava sutiny, so zložením a hrubým urovnaním, na vzdialenosť do 1000 m</t>
  </si>
  <si>
    <t>106</t>
  </si>
  <si>
    <t>43</t>
  </si>
  <si>
    <t>979089012</t>
  </si>
  <si>
    <t>Poplatok za skladovanie - betón, tehly, dlaždice (17 01 ), ostatné</t>
  </si>
  <si>
    <t>108</t>
  </si>
  <si>
    <t>998212111</t>
  </si>
  <si>
    <t>Presun hmôt pre mosty murované, monolitické,betónové,kovové,výšky mosta do 20 m</t>
  </si>
  <si>
    <t>92</t>
  </si>
  <si>
    <t xml:space="preserve">Ostatné konštrukcie a práce   </t>
  </si>
  <si>
    <t>45</t>
  </si>
  <si>
    <t>911131111</t>
  </si>
  <si>
    <t>Osadenie a montáž zábradlia oceľového</t>
  </si>
  <si>
    <t>96</t>
  </si>
  <si>
    <t>9990000000</t>
  </si>
  <si>
    <t>Zábradlie</t>
  </si>
  <si>
    <t>98</t>
  </si>
  <si>
    <t>" oceľový materiál pre zábradlie"  428,0</t>
  </si>
  <si>
    <t>OST</t>
  </si>
  <si>
    <t xml:space="preserve">Ostatné   </t>
  </si>
  <si>
    <t>47</t>
  </si>
  <si>
    <t>914811113</t>
  </si>
  <si>
    <t>Montáž stĺpika dĺžky do 2 m dočasnej dopravnej značky   Pre 2x A19</t>
  </si>
  <si>
    <t>262144</t>
  </si>
  <si>
    <t>110</t>
  </si>
  <si>
    <t>404410029000</t>
  </si>
  <si>
    <t>Výstražná značka A19 (Práca), rozmer 700 mm, fólia RA2*(R3A,R3B), pozinkovaná</t>
  </si>
  <si>
    <t>118</t>
  </si>
  <si>
    <t>49</t>
  </si>
  <si>
    <t>915912211</t>
  </si>
  <si>
    <t>Montáž dočasnej dopravnej smerovej dosky základnej Z4b,</t>
  </si>
  <si>
    <t>120</t>
  </si>
  <si>
    <t>50</t>
  </si>
  <si>
    <t>404450003800</t>
  </si>
  <si>
    <t>Zariadenie dopravné Z2b (Zábrana na označenie uzávierky), rozmer 1000x220 mm, Zn plech so založeným Al okrajovým profilom I. trieda, EG, 7 rokov</t>
  </si>
  <si>
    <t>122</t>
  </si>
  <si>
    <t>PSV</t>
  </si>
  <si>
    <t xml:space="preserve">Práce a dodávky PSV   </t>
  </si>
  <si>
    <t>783</t>
  </si>
  <si>
    <t xml:space="preserve">Dokončovacie práce - nátery   </t>
  </si>
  <si>
    <t>51</t>
  </si>
  <si>
    <t>783124220_1</t>
  </si>
  <si>
    <t>Nátery oceľ.konštr. - povrchová úprava termoplastická prášková farba</t>
  </si>
  <si>
    <t>128</t>
  </si>
  <si>
    <t xml:space="preserve">(1,1*14)*2   </t>
  </si>
  <si>
    <t>52</t>
  </si>
  <si>
    <t>2466121100</t>
  </si>
  <si>
    <t>Náterová hmota prášková termoplastická</t>
  </si>
  <si>
    <t>130</t>
  </si>
  <si>
    <t xml:space="preserve">30,8/5,5*1,2   </t>
  </si>
  <si>
    <t>VÝKAZ VÝMER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</si>
</sst>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"/>
    <numFmt numFmtId="165" formatCode="dd\.mm\.yyyy"/>
    <numFmt numFmtId="166" formatCode="#,##0.00000"/>
    <numFmt numFmtId="167" formatCode="#,##0.000"/>
  </numFmts>
  <fonts count="37">
    <font>
      <sz val="8"/>
      <name val="Arial CE"/>
      <family val="2"/>
    </font>
    <font>
      <sz val="10"/>
      <color rgb="FF969696"/>
      <name val="Arial CE"/>
    </font>
    <font>
      <sz val="10"/>
      <name val="Arial CE"/>
    </font>
    <font>
      <b/>
      <sz val="11"/>
      <name val="Arial CE"/>
    </font>
    <font>
      <b/>
      <sz val="12"/>
      <name val="Arial CE"/>
    </font>
    <font>
      <sz val="11"/>
      <name val="Arial CE"/>
    </font>
    <font>
      <sz val="12"/>
      <color rgb="FF003366"/>
      <name val="Arial CE"/>
    </font>
    <font>
      <sz val="10"/>
      <color rgb="FF003366"/>
      <name val="Arial CE"/>
    </font>
    <font>
      <sz val="8"/>
      <color rgb="FF003366"/>
      <name val="Arial CE"/>
    </font>
    <font>
      <sz val="8"/>
      <color rgb="FF505050"/>
      <name val="Arial CE"/>
    </font>
    <font>
      <sz val="8"/>
      <color rgb="FFFF0000"/>
      <name val="Arial CE"/>
    </font>
    <font>
      <sz val="8"/>
      <color rgb="FFFFFFFF"/>
      <name val="Arial CE"/>
    </font>
    <font>
      <sz val="8"/>
      <color rgb="FF3366FF"/>
      <name val="Arial CE"/>
    </font>
    <font>
      <b/>
      <sz val="14"/>
      <name val="Arial CE"/>
    </font>
    <font>
      <b/>
      <sz val="12"/>
      <color rgb="FF969696"/>
      <name val="Arial CE"/>
    </font>
    <font>
      <b/>
      <sz val="8"/>
      <color rgb="FF969696"/>
      <name val="Arial CE"/>
    </font>
    <font>
      <b/>
      <sz val="10"/>
      <name val="Arial CE"/>
    </font>
    <font>
      <b/>
      <sz val="10"/>
      <color rgb="FF969696"/>
      <name val="Arial CE"/>
    </font>
    <font>
      <b/>
      <sz val="10"/>
      <color rgb="FF464646"/>
      <name val="Arial CE"/>
    </font>
    <font>
      <sz val="12"/>
      <color rgb="FF969696"/>
      <name val="Arial CE"/>
    </font>
    <font>
      <sz val="8"/>
      <color rgb="FF969696"/>
      <name val="Arial CE"/>
    </font>
    <font>
      <sz val="9"/>
      <name val="Arial CE"/>
    </font>
    <font>
      <sz val="9"/>
      <color rgb="FF969696"/>
      <name val="Arial CE"/>
    </font>
    <font>
      <b/>
      <sz val="12"/>
      <color rgb="FF960000"/>
      <name val="Arial CE"/>
    </font>
    <font>
      <sz val="12"/>
      <name val="Arial CE"/>
    </font>
    <font>
      <sz val="18"/>
      <color theme="10"/>
      <name val="Wingdings 2"/>
    </font>
    <font>
      <b/>
      <sz val="11"/>
      <color rgb="FF003366"/>
      <name val="Arial CE"/>
    </font>
    <font>
      <sz val="11"/>
      <color rgb="FF003366"/>
      <name val="Arial CE"/>
    </font>
    <font>
      <sz val="11"/>
      <color rgb="FF969696"/>
      <name val="Arial CE"/>
    </font>
    <font>
      <sz val="10"/>
      <color rgb="FF3366FF"/>
      <name val="Arial CE"/>
    </font>
    <font>
      <b/>
      <sz val="12"/>
      <color rgb="FF800000"/>
      <name val="Arial CE"/>
    </font>
    <font>
      <sz val="8"/>
      <color rgb="FF960000"/>
      <name val="Arial CE"/>
    </font>
    <font>
      <b/>
      <sz val="8"/>
      <name val="Arial CE"/>
    </font>
    <font>
      <sz val="7"/>
      <color rgb="FF969696"/>
      <name val="Arial CE"/>
    </font>
    <font>
      <i/>
      <sz val="9"/>
      <color rgb="FF0000FF"/>
      <name val="Arial CE"/>
    </font>
    <font>
      <i/>
      <sz val="8"/>
      <color rgb="FF0000FF"/>
      <name val="Arial CE"/>
    </font>
    <font>
      <u/>
      <sz val="11"/>
      <color theme="1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CC"/>
      </patternFill>
    </fill>
    <fill>
      <patternFill patternType="solid">
        <fgColor rgb="FFBEBEBE"/>
      </patternFill>
    </fill>
    <fill>
      <patternFill patternType="solid">
        <fgColor rgb="FFD2D2D2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969696"/>
      </left>
      <right/>
      <top style="hair">
        <color rgb="FF969696"/>
      </top>
      <bottom/>
      <diagonal/>
    </border>
    <border>
      <left/>
      <right/>
      <top style="hair">
        <color rgb="FF969696"/>
      </top>
      <bottom/>
      <diagonal/>
    </border>
    <border>
      <left/>
      <right style="hair">
        <color rgb="FF969696"/>
      </right>
      <top style="hair">
        <color rgb="FF969696"/>
      </top>
      <bottom/>
      <diagonal/>
    </border>
    <border>
      <left style="hair">
        <color rgb="FF969696"/>
      </left>
      <right/>
      <top/>
      <bottom/>
      <diagonal/>
    </border>
    <border>
      <left/>
      <right style="hair">
        <color rgb="FF969696"/>
      </right>
      <top/>
      <bottom/>
      <diagonal/>
    </border>
    <border>
      <left style="hair">
        <color rgb="FF969696"/>
      </left>
      <right/>
      <top style="hair">
        <color rgb="FF969696"/>
      </top>
      <bottom style="hair">
        <color rgb="FF969696"/>
      </bottom>
      <diagonal/>
    </border>
    <border>
      <left/>
      <right/>
      <top style="hair">
        <color rgb="FF969696"/>
      </top>
      <bottom style="hair">
        <color rgb="FF969696"/>
      </bottom>
      <diagonal/>
    </border>
    <border>
      <left/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rgb="FF969696"/>
      </left>
      <right/>
      <top/>
      <bottom style="hair">
        <color rgb="FF969696"/>
      </bottom>
      <diagonal/>
    </border>
    <border>
      <left/>
      <right/>
      <top/>
      <bottom style="hair">
        <color rgb="FF969696"/>
      </bottom>
      <diagonal/>
    </border>
    <border>
      <left/>
      <right style="hair">
        <color rgb="FF969696"/>
      </right>
      <top/>
      <bottom style="hair">
        <color rgb="FF969696"/>
      </bottom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</borders>
  <cellStyleXfs count="2">
    <xf numFmtId="0" fontId="0" fillId="0" borderId="0"/>
    <xf numFmtId="0" fontId="36" fillId="0" borderId="0" applyNumberFormat="0" applyFill="0" applyBorder="0" applyAlignment="0" applyProtection="0"/>
  </cellStyleXfs>
  <cellXfs count="227">
    <xf numFmtId="0" fontId="0" fillId="0" borderId="0" xfId="0"/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2" fillId="3" borderId="0" xfId="0" applyFont="1" applyFill="1" applyAlignment="1" applyProtection="1">
      <alignment horizontal="left" vertical="center"/>
      <protection locked="0"/>
    </xf>
    <xf numFmtId="49" fontId="2" fillId="3" borderId="0" xfId="0" applyNumberFormat="1" applyFont="1" applyFill="1" applyAlignment="1" applyProtection="1">
      <alignment horizontal="left" vertical="center"/>
      <protection locked="0"/>
    </xf>
    <xf numFmtId="0" fontId="2" fillId="0" borderId="0" xfId="0" applyFont="1" applyAlignment="1">
      <alignment horizontal="left" vertical="center" wrapText="1"/>
    </xf>
    <xf numFmtId="0" fontId="0" fillId="0" borderId="4" xfId="0" applyBorder="1"/>
    <xf numFmtId="0" fontId="0" fillId="0" borderId="0" xfId="0" applyFont="1" applyAlignment="1">
      <alignment vertical="center"/>
    </xf>
    <xf numFmtId="0" fontId="0" fillId="0" borderId="3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0" fillId="0" borderId="5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3" xfId="0" applyFont="1" applyBorder="1" applyAlignment="1">
      <alignment vertical="center"/>
    </xf>
    <xf numFmtId="0" fontId="0" fillId="4" borderId="0" xfId="0" applyFont="1" applyFill="1" applyAlignment="1">
      <alignment vertical="center"/>
    </xf>
    <xf numFmtId="0" fontId="4" fillId="4" borderId="6" xfId="0" applyFont="1" applyFill="1" applyBorder="1" applyAlignment="1">
      <alignment horizontal="left" vertical="center"/>
    </xf>
    <xf numFmtId="0" fontId="0" fillId="4" borderId="7" xfId="0" applyFont="1" applyFill="1" applyBorder="1" applyAlignment="1">
      <alignment vertical="center"/>
    </xf>
    <xf numFmtId="0" fontId="4" fillId="4" borderId="7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8" fillId="0" borderId="4" xfId="0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0" fillId="0" borderId="4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165" fontId="2" fillId="0" borderId="0" xfId="0" applyNumberFormat="1" applyFont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0" fillId="5" borderId="7" xfId="0" applyFont="1" applyFill="1" applyBorder="1" applyAlignment="1">
      <alignment vertical="center"/>
    </xf>
    <xf numFmtId="0" fontId="21" fillId="5" borderId="0" xfId="0" applyFont="1" applyFill="1" applyAlignment="1">
      <alignment horizontal="center" vertical="center"/>
    </xf>
    <xf numFmtId="0" fontId="22" fillId="0" borderId="16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0" fillId="0" borderId="11" xfId="0" applyFont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4" fontId="23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4" fontId="19" fillId="0" borderId="14" xfId="0" applyNumberFormat="1" applyFont="1" applyBorder="1" applyAlignment="1">
      <alignment vertical="center"/>
    </xf>
    <xf numFmtId="4" fontId="19" fillId="0" borderId="0" xfId="0" applyNumberFormat="1" applyFont="1" applyBorder="1" applyAlignment="1">
      <alignment vertical="center"/>
    </xf>
    <xf numFmtId="166" fontId="19" fillId="0" borderId="0" xfId="0" applyNumberFormat="1" applyFont="1" applyBorder="1" applyAlignment="1">
      <alignment vertical="center"/>
    </xf>
    <xf numFmtId="4" fontId="19" fillId="0" borderId="15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5" fillId="0" borderId="0" xfId="1" applyFont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" fontId="28" fillId="0" borderId="19" xfId="0" applyNumberFormat="1" applyFont="1" applyBorder="1" applyAlignment="1">
      <alignment vertical="center"/>
    </xf>
    <xf numFmtId="4" fontId="28" fillId="0" borderId="20" xfId="0" applyNumberFormat="1" applyFont="1" applyBorder="1" applyAlignment="1">
      <alignment vertical="center"/>
    </xf>
    <xf numFmtId="166" fontId="28" fillId="0" borderId="20" xfId="0" applyNumberFormat="1" applyFont="1" applyBorder="1" applyAlignment="1">
      <alignment vertical="center"/>
    </xf>
    <xf numFmtId="4" fontId="28" fillId="0" borderId="21" xfId="0" applyNumberFormat="1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0" borderId="0" xfId="0" applyFont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6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0" fillId="5" borderId="0" xfId="0" applyFont="1" applyFill="1" applyAlignment="1">
      <alignment vertical="center"/>
    </xf>
    <xf numFmtId="0" fontId="4" fillId="5" borderId="6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right" vertical="center"/>
    </xf>
    <xf numFmtId="0" fontId="4" fillId="5" borderId="7" xfId="0" applyFont="1" applyFill="1" applyBorder="1" applyAlignment="1">
      <alignment horizontal="center" vertical="center"/>
    </xf>
    <xf numFmtId="4" fontId="4" fillId="5" borderId="7" xfId="0" applyNumberFormat="1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21" fillId="5" borderId="0" xfId="0" applyFont="1" applyFill="1" applyAlignment="1">
      <alignment horizontal="left" vertical="center"/>
    </xf>
    <xf numFmtId="0" fontId="21" fillId="5" borderId="0" xfId="0" applyFont="1" applyFill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6" fillId="0" borderId="3" xfId="0" applyFont="1" applyBorder="1" applyAlignment="1">
      <alignment vertical="center"/>
    </xf>
    <xf numFmtId="0" fontId="6" fillId="0" borderId="20" xfId="0" applyFont="1" applyBorder="1" applyAlignment="1">
      <alignment horizontal="left" vertical="center"/>
    </xf>
    <xf numFmtId="0" fontId="6" fillId="0" borderId="20" xfId="0" applyFont="1" applyBorder="1" applyAlignment="1">
      <alignment vertical="center"/>
    </xf>
    <xf numFmtId="4" fontId="6" fillId="0" borderId="20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20" xfId="0" applyFont="1" applyBorder="1" applyAlignment="1">
      <alignment horizontal="left" vertical="center"/>
    </xf>
    <xf numFmtId="0" fontId="7" fillId="0" borderId="20" xfId="0" applyFont="1" applyBorder="1" applyAlignment="1">
      <alignment vertical="center"/>
    </xf>
    <xf numFmtId="4" fontId="7" fillId="0" borderId="20" xfId="0" applyNumberFormat="1" applyFont="1" applyBorder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21" fillId="5" borderId="16" xfId="0" applyFont="1" applyFill="1" applyBorder="1" applyAlignment="1">
      <alignment horizontal="center" vertical="center" wrapText="1"/>
    </xf>
    <xf numFmtId="0" fontId="21" fillId="5" borderId="17" xfId="0" applyFont="1" applyFill="1" applyBorder="1" applyAlignment="1">
      <alignment horizontal="center" vertical="center" wrapText="1"/>
    </xf>
    <xf numFmtId="0" fontId="21" fillId="5" borderId="18" xfId="0" applyFont="1" applyFill="1" applyBorder="1" applyAlignment="1">
      <alignment horizontal="center" vertical="center" wrapText="1"/>
    </xf>
    <xf numFmtId="0" fontId="21" fillId="5" borderId="0" xfId="0" applyFont="1" applyFill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7" fontId="23" fillId="0" borderId="0" xfId="0" applyNumberFormat="1" applyFont="1" applyAlignment="1"/>
    <xf numFmtId="166" fontId="31" fillId="0" borderId="12" xfId="0" applyNumberFormat="1" applyFont="1" applyBorder="1" applyAlignment="1"/>
    <xf numFmtId="166" fontId="31" fillId="0" borderId="13" xfId="0" applyNumberFormat="1" applyFont="1" applyBorder="1" applyAlignment="1"/>
    <xf numFmtId="167" fontId="32" fillId="0" borderId="0" xfId="0" applyNumberFormat="1" applyFont="1" applyAlignment="1">
      <alignment vertical="center"/>
    </xf>
    <xf numFmtId="0" fontId="8" fillId="0" borderId="3" xfId="0" applyFont="1" applyBorder="1" applyAlignment="1"/>
    <xf numFmtId="0" fontId="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 applyProtection="1">
      <protection locked="0"/>
    </xf>
    <xf numFmtId="167" fontId="6" fillId="0" borderId="0" xfId="0" applyNumberFormat="1" applyFont="1" applyAlignment="1"/>
    <xf numFmtId="0" fontId="8" fillId="0" borderId="14" xfId="0" applyFont="1" applyBorder="1" applyAlignment="1"/>
    <xf numFmtId="0" fontId="8" fillId="0" borderId="0" xfId="0" applyFont="1" applyBorder="1" applyAlignment="1"/>
    <xf numFmtId="166" fontId="8" fillId="0" borderId="0" xfId="0" applyNumberFormat="1" applyFont="1" applyBorder="1" applyAlignment="1"/>
    <xf numFmtId="166" fontId="8" fillId="0" borderId="15" xfId="0" applyNumberFormat="1" applyFont="1" applyBorder="1" applyAlignment="1"/>
    <xf numFmtId="0" fontId="8" fillId="0" borderId="0" xfId="0" applyFont="1" applyAlignment="1">
      <alignment horizontal="center"/>
    </xf>
    <xf numFmtId="167" fontId="8" fillId="0" borderId="0" xfId="0" applyNumberFormat="1" applyFont="1" applyAlignment="1">
      <alignment vertical="center"/>
    </xf>
    <xf numFmtId="0" fontId="7" fillId="0" borderId="0" xfId="0" applyFont="1" applyAlignment="1">
      <alignment horizontal="left"/>
    </xf>
    <xf numFmtId="167" fontId="7" fillId="0" borderId="0" xfId="0" applyNumberFormat="1" applyFont="1" applyAlignment="1"/>
    <xf numFmtId="0" fontId="0" fillId="0" borderId="3" xfId="0" applyFont="1" applyBorder="1" applyAlignment="1" applyProtection="1">
      <alignment vertical="center"/>
      <protection locked="0"/>
    </xf>
    <xf numFmtId="0" fontId="21" fillId="0" borderId="22" xfId="0" applyFont="1" applyBorder="1" applyAlignment="1" applyProtection="1">
      <alignment horizontal="center" vertical="center"/>
      <protection locked="0"/>
    </xf>
    <xf numFmtId="49" fontId="21" fillId="0" borderId="22" xfId="0" applyNumberFormat="1" applyFont="1" applyBorder="1" applyAlignment="1" applyProtection="1">
      <alignment horizontal="left" vertical="center" wrapText="1"/>
      <protection locked="0"/>
    </xf>
    <xf numFmtId="0" fontId="21" fillId="0" borderId="22" xfId="0" applyFont="1" applyBorder="1" applyAlignment="1" applyProtection="1">
      <alignment horizontal="left" vertical="center" wrapText="1"/>
      <protection locked="0"/>
    </xf>
    <xf numFmtId="0" fontId="21" fillId="0" borderId="22" xfId="0" applyFont="1" applyBorder="1" applyAlignment="1" applyProtection="1">
      <alignment horizontal="center" vertical="center" wrapText="1"/>
      <protection locked="0"/>
    </xf>
    <xf numFmtId="167" fontId="21" fillId="3" borderId="22" xfId="0" applyNumberFormat="1" applyFont="1" applyFill="1" applyBorder="1" applyAlignment="1" applyProtection="1">
      <alignment vertical="center"/>
      <protection locked="0"/>
    </xf>
    <xf numFmtId="167" fontId="21" fillId="0" borderId="22" xfId="0" applyNumberFormat="1" applyFont="1" applyBorder="1" applyAlignment="1" applyProtection="1">
      <alignment vertical="center"/>
      <protection locked="0"/>
    </xf>
    <xf numFmtId="0" fontId="0" fillId="0" borderId="22" xfId="0" applyFont="1" applyBorder="1" applyAlignment="1" applyProtection="1">
      <alignment vertical="center"/>
      <protection locked="0"/>
    </xf>
    <xf numFmtId="0" fontId="22" fillId="3" borderId="14" xfId="0" applyFont="1" applyFill="1" applyBorder="1" applyAlignment="1" applyProtection="1">
      <alignment horizontal="left" vertical="center"/>
      <protection locked="0"/>
    </xf>
    <xf numFmtId="0" fontId="22" fillId="0" borderId="0" xfId="0" applyFont="1" applyBorder="1" applyAlignment="1">
      <alignment horizontal="center" vertical="center"/>
    </xf>
    <xf numFmtId="166" fontId="22" fillId="0" borderId="0" xfId="0" applyNumberFormat="1" applyFont="1" applyBorder="1" applyAlignment="1">
      <alignment vertical="center"/>
    </xf>
    <xf numFmtId="166" fontId="22" fillId="0" borderId="15" xfId="0" applyNumberFormat="1" applyFont="1" applyBorder="1" applyAlignment="1">
      <alignment vertical="center"/>
    </xf>
    <xf numFmtId="0" fontId="21" fillId="0" borderId="0" xfId="0" applyFont="1" applyAlignment="1">
      <alignment horizontal="left" vertical="center"/>
    </xf>
    <xf numFmtId="4" fontId="0" fillId="0" borderId="0" xfId="0" applyNumberFormat="1" applyFont="1" applyAlignment="1">
      <alignment vertical="center"/>
    </xf>
    <xf numFmtId="167" fontId="0" fillId="0" borderId="0" xfId="0" applyNumberFormat="1" applyFont="1" applyAlignment="1">
      <alignment vertical="center"/>
    </xf>
    <xf numFmtId="0" fontId="9" fillId="0" borderId="3" xfId="0" applyFont="1" applyBorder="1" applyAlignment="1">
      <alignment vertical="center"/>
    </xf>
    <xf numFmtId="0" fontId="33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167" fontId="9" fillId="0" borderId="0" xfId="0" applyNumberFormat="1" applyFont="1" applyAlignment="1">
      <alignment vertical="center"/>
    </xf>
    <xf numFmtId="0" fontId="9" fillId="0" borderId="0" xfId="0" applyFont="1" applyAlignment="1" applyProtection="1">
      <alignment vertical="center"/>
      <protection locked="0"/>
    </xf>
    <xf numFmtId="0" fontId="9" fillId="0" borderId="14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167" fontId="10" fillId="0" borderId="0" xfId="0" applyNumberFormat="1" applyFont="1" applyAlignment="1">
      <alignment vertical="center"/>
    </xf>
    <xf numFmtId="0" fontId="10" fillId="0" borderId="0" xfId="0" applyFont="1" applyAlignment="1" applyProtection="1">
      <alignment vertical="center"/>
      <protection locked="0"/>
    </xf>
    <xf numFmtId="0" fontId="10" fillId="0" borderId="14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34" fillId="0" borderId="22" xfId="0" applyFont="1" applyBorder="1" applyAlignment="1" applyProtection="1">
      <alignment horizontal="center" vertical="center"/>
      <protection locked="0"/>
    </xf>
    <xf numFmtId="49" fontId="34" fillId="0" borderId="22" xfId="0" applyNumberFormat="1" applyFont="1" applyBorder="1" applyAlignment="1" applyProtection="1">
      <alignment horizontal="left" vertical="center" wrapText="1"/>
      <protection locked="0"/>
    </xf>
    <xf numFmtId="0" fontId="34" fillId="0" borderId="22" xfId="0" applyFont="1" applyBorder="1" applyAlignment="1" applyProtection="1">
      <alignment horizontal="left" vertical="center" wrapText="1"/>
      <protection locked="0"/>
    </xf>
    <xf numFmtId="0" fontId="34" fillId="0" borderId="22" xfId="0" applyFont="1" applyBorder="1" applyAlignment="1" applyProtection="1">
      <alignment horizontal="center" vertical="center" wrapText="1"/>
      <protection locked="0"/>
    </xf>
    <xf numFmtId="167" fontId="34" fillId="3" borderId="22" xfId="0" applyNumberFormat="1" applyFont="1" applyFill="1" applyBorder="1" applyAlignment="1" applyProtection="1">
      <alignment vertical="center"/>
      <protection locked="0"/>
    </xf>
    <xf numFmtId="167" fontId="34" fillId="0" borderId="22" xfId="0" applyNumberFormat="1" applyFont="1" applyBorder="1" applyAlignment="1" applyProtection="1">
      <alignment vertical="center"/>
      <protection locked="0"/>
    </xf>
    <xf numFmtId="0" fontId="35" fillId="0" borderId="22" xfId="0" applyFont="1" applyBorder="1" applyAlignment="1" applyProtection="1">
      <alignment vertical="center"/>
      <protection locked="0"/>
    </xf>
    <xf numFmtId="0" fontId="35" fillId="0" borderId="3" xfId="0" applyFont="1" applyBorder="1" applyAlignment="1">
      <alignment vertical="center"/>
    </xf>
    <xf numFmtId="0" fontId="34" fillId="3" borderId="14" xfId="0" applyFont="1" applyFill="1" applyBorder="1" applyAlignment="1" applyProtection="1">
      <alignment horizontal="left" vertical="center"/>
      <protection locked="0"/>
    </xf>
    <xf numFmtId="0" fontId="34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4" fontId="17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3" fillId="0" borderId="0" xfId="0" applyFont="1" applyAlignment="1">
      <alignment horizontal="left" vertical="top" wrapText="1"/>
    </xf>
    <xf numFmtId="49" fontId="2" fillId="3" borderId="0" xfId="0" applyNumberFormat="1" applyFont="1" applyFill="1" applyAlignment="1" applyProtection="1">
      <alignment horizontal="left" vertical="center"/>
      <protection locked="0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" fontId="16" fillId="0" borderId="5" xfId="0" applyNumberFormat="1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4" fontId="27" fillId="0" borderId="0" xfId="0" applyNumberFormat="1" applyFont="1" applyAlignment="1">
      <alignment vertical="center"/>
    </xf>
    <xf numFmtId="0" fontId="27" fillId="0" borderId="0" xfId="0" applyFont="1" applyAlignment="1">
      <alignment vertical="center"/>
    </xf>
    <xf numFmtId="0" fontId="26" fillId="0" borderId="0" xfId="0" applyFont="1" applyAlignment="1">
      <alignment horizontal="left" vertical="center" wrapText="1"/>
    </xf>
    <xf numFmtId="4" fontId="23" fillId="0" borderId="0" xfId="0" applyNumberFormat="1" applyFont="1" applyAlignment="1">
      <alignment horizontal="right" vertical="center"/>
    </xf>
    <xf numFmtId="4" fontId="23" fillId="0" borderId="0" xfId="0" applyNumberFormat="1" applyFont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left" vertical="center"/>
    </xf>
    <xf numFmtId="0" fontId="21" fillId="5" borderId="7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0" fontId="21" fillId="5" borderId="8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165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20" fillId="0" borderId="14" xfId="0" applyFont="1" applyBorder="1" applyAlignment="1">
      <alignment horizontal="left" vertical="center"/>
    </xf>
    <xf numFmtId="0" fontId="20" fillId="0" borderId="0" xfId="0" applyFont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0" fillId="4" borderId="7" xfId="0" applyFont="1" applyFill="1" applyBorder="1" applyAlignment="1">
      <alignment vertical="center"/>
    </xf>
    <xf numFmtId="4" fontId="4" fillId="4" borderId="7" xfId="0" applyNumberFormat="1" applyFont="1" applyFill="1" applyBorder="1" applyAlignment="1">
      <alignment vertical="center"/>
    </xf>
    <xf numFmtId="0" fontId="0" fillId="4" borderId="8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3" borderId="0" xfId="0" applyFont="1" applyFill="1" applyAlignment="1" applyProtection="1">
      <alignment horizontal="left" vertical="center"/>
      <protection locked="0"/>
    </xf>
  </cellXfs>
  <cellStyles count="2">
    <cellStyle name="Hypertextové prepojenie" xfId="1" builtinId="8"/>
    <cellStyle name="Normálne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M97"/>
  <sheetViews>
    <sheetView showGridLines="0" workbookViewId="0"/>
  </sheetViews>
  <sheetFormatPr defaultRowHeight="11.25"/>
  <cols>
    <col min="1" max="1" width="8.33203125" style="1" customWidth="1"/>
    <col min="2" max="2" width="1.6640625" style="1" customWidth="1"/>
    <col min="3" max="3" width="4.1640625" style="1" customWidth="1"/>
    <col min="4" max="33" width="2.6640625" style="1" customWidth="1"/>
    <col min="34" max="34" width="3.33203125" style="1" customWidth="1"/>
    <col min="35" max="35" width="31.6640625" style="1" customWidth="1"/>
    <col min="36" max="37" width="2.5" style="1" customWidth="1"/>
    <col min="38" max="38" width="8.33203125" style="1" customWidth="1"/>
    <col min="39" max="39" width="3.33203125" style="1" customWidth="1"/>
    <col min="40" max="40" width="13.33203125" style="1" customWidth="1"/>
    <col min="41" max="41" width="7.5" style="1" customWidth="1"/>
    <col min="42" max="42" width="4.1640625" style="1" customWidth="1"/>
    <col min="43" max="43" width="15.6640625" style="1" hidden="1" customWidth="1"/>
    <col min="44" max="44" width="13.6640625" style="1" customWidth="1"/>
    <col min="45" max="47" width="25.83203125" style="1" hidden="1" customWidth="1"/>
    <col min="48" max="49" width="21.6640625" style="1" hidden="1" customWidth="1"/>
    <col min="50" max="51" width="25" style="1" hidden="1" customWidth="1"/>
    <col min="52" max="52" width="21.6640625" style="1" hidden="1" customWidth="1"/>
    <col min="53" max="53" width="19.1640625" style="1" hidden="1" customWidth="1"/>
    <col min="54" max="54" width="25" style="1" hidden="1" customWidth="1"/>
    <col min="55" max="55" width="21.6640625" style="1" hidden="1" customWidth="1"/>
    <col min="56" max="56" width="19.1640625" style="1" hidden="1" customWidth="1"/>
    <col min="57" max="57" width="66.5" style="1" customWidth="1"/>
    <col min="71" max="91" width="9.33203125" style="1" hidden="1"/>
  </cols>
  <sheetData>
    <row r="1" spans="1:74">
      <c r="A1" s="15" t="s">
        <v>0</v>
      </c>
      <c r="AZ1" s="15" t="s">
        <v>1</v>
      </c>
      <c r="BA1" s="15" t="s">
        <v>2</v>
      </c>
      <c r="BB1" s="15" t="s">
        <v>1</v>
      </c>
      <c r="BT1" s="15" t="s">
        <v>3</v>
      </c>
      <c r="BU1" s="15" t="s">
        <v>3</v>
      </c>
      <c r="BV1" s="15" t="s">
        <v>4</v>
      </c>
    </row>
    <row r="2" spans="1:74" s="1" customFormat="1" ht="36.950000000000003" customHeight="1">
      <c r="AR2" s="204" t="s">
        <v>5</v>
      </c>
      <c r="AS2" s="191"/>
      <c r="AT2" s="191"/>
      <c r="AU2" s="191"/>
      <c r="AV2" s="191"/>
      <c r="AW2" s="191"/>
      <c r="AX2" s="191"/>
      <c r="AY2" s="191"/>
      <c r="AZ2" s="191"/>
      <c r="BA2" s="191"/>
      <c r="BB2" s="191"/>
      <c r="BC2" s="191"/>
      <c r="BD2" s="191"/>
      <c r="BE2" s="191"/>
      <c r="BS2" s="16" t="s">
        <v>6</v>
      </c>
      <c r="BT2" s="16" t="s">
        <v>7</v>
      </c>
    </row>
    <row r="3" spans="1:74" s="1" customFormat="1" ht="6.95" customHeight="1"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9"/>
      <c r="BS3" s="16" t="s">
        <v>6</v>
      </c>
      <c r="BT3" s="16" t="s">
        <v>7</v>
      </c>
    </row>
    <row r="4" spans="1:74" s="1" customFormat="1" ht="24.95" customHeight="1">
      <c r="B4" s="19"/>
      <c r="D4" s="20" t="s">
        <v>8</v>
      </c>
      <c r="AR4" s="19"/>
      <c r="AS4" s="21" t="s">
        <v>9</v>
      </c>
      <c r="BE4" s="22" t="s">
        <v>10</v>
      </c>
      <c r="BS4" s="16" t="s">
        <v>6</v>
      </c>
    </row>
    <row r="5" spans="1:74" s="1" customFormat="1" ht="12" customHeight="1">
      <c r="B5" s="19"/>
      <c r="D5" s="23" t="s">
        <v>11</v>
      </c>
      <c r="K5" s="190" t="s">
        <v>12</v>
      </c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91"/>
      <c r="AK5" s="191"/>
      <c r="AL5" s="191"/>
      <c r="AM5" s="191"/>
      <c r="AN5" s="191"/>
      <c r="AO5" s="191"/>
      <c r="AR5" s="19"/>
      <c r="BE5" s="187" t="s">
        <v>13</v>
      </c>
      <c r="BS5" s="16" t="s">
        <v>6</v>
      </c>
    </row>
    <row r="6" spans="1:74" s="1" customFormat="1" ht="36.950000000000003" customHeight="1">
      <c r="B6" s="19"/>
      <c r="D6" s="25" t="s">
        <v>14</v>
      </c>
      <c r="K6" s="192" t="s">
        <v>15</v>
      </c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191"/>
      <c r="AG6" s="191"/>
      <c r="AH6" s="191"/>
      <c r="AI6" s="191"/>
      <c r="AJ6" s="191"/>
      <c r="AK6" s="191"/>
      <c r="AL6" s="191"/>
      <c r="AM6" s="191"/>
      <c r="AN6" s="191"/>
      <c r="AO6" s="191"/>
      <c r="AR6" s="19"/>
      <c r="BE6" s="188"/>
      <c r="BS6" s="16" t="s">
        <v>6</v>
      </c>
    </row>
    <row r="7" spans="1:74" s="1" customFormat="1" ht="12" customHeight="1">
      <c r="B7" s="19"/>
      <c r="D7" s="26" t="s">
        <v>16</v>
      </c>
      <c r="K7" s="24" t="s">
        <v>1</v>
      </c>
      <c r="AK7" s="26" t="s">
        <v>17</v>
      </c>
      <c r="AN7" s="24" t="s">
        <v>1</v>
      </c>
      <c r="AR7" s="19"/>
      <c r="BE7" s="188"/>
      <c r="BS7" s="16" t="s">
        <v>6</v>
      </c>
    </row>
    <row r="8" spans="1:74" s="1" customFormat="1" ht="12" customHeight="1">
      <c r="B8" s="19"/>
      <c r="D8" s="26" t="s">
        <v>18</v>
      </c>
      <c r="K8" s="24" t="s">
        <v>19</v>
      </c>
      <c r="AK8" s="26" t="s">
        <v>20</v>
      </c>
      <c r="AN8" s="27" t="s">
        <v>21</v>
      </c>
      <c r="AR8" s="19"/>
      <c r="BE8" s="188"/>
      <c r="BS8" s="16" t="s">
        <v>6</v>
      </c>
    </row>
    <row r="9" spans="1:74" s="1" customFormat="1" ht="14.45" customHeight="1">
      <c r="B9" s="19"/>
      <c r="AR9" s="19"/>
      <c r="BE9" s="188"/>
      <c r="BS9" s="16" t="s">
        <v>6</v>
      </c>
    </row>
    <row r="10" spans="1:74" s="1" customFormat="1" ht="12" customHeight="1">
      <c r="B10" s="19"/>
      <c r="D10" s="26" t="s">
        <v>22</v>
      </c>
      <c r="AK10" s="26" t="s">
        <v>23</v>
      </c>
      <c r="AN10" s="24" t="s">
        <v>1</v>
      </c>
      <c r="AR10" s="19"/>
      <c r="BE10" s="188"/>
      <c r="BS10" s="16" t="s">
        <v>6</v>
      </c>
    </row>
    <row r="11" spans="1:74" s="1" customFormat="1" ht="18.399999999999999" customHeight="1">
      <c r="B11" s="19"/>
      <c r="E11" s="24" t="s">
        <v>24</v>
      </c>
      <c r="AK11" s="26" t="s">
        <v>25</v>
      </c>
      <c r="AN11" s="24" t="s">
        <v>1</v>
      </c>
      <c r="AR11" s="19"/>
      <c r="BE11" s="188"/>
      <c r="BS11" s="16" t="s">
        <v>6</v>
      </c>
    </row>
    <row r="12" spans="1:74" s="1" customFormat="1" ht="6.95" customHeight="1">
      <c r="B12" s="19"/>
      <c r="AR12" s="19"/>
      <c r="BE12" s="188"/>
      <c r="BS12" s="16" t="s">
        <v>6</v>
      </c>
    </row>
    <row r="13" spans="1:74" s="1" customFormat="1" ht="12" customHeight="1">
      <c r="B13" s="19"/>
      <c r="D13" s="26" t="s">
        <v>26</v>
      </c>
      <c r="AK13" s="26" t="s">
        <v>23</v>
      </c>
      <c r="AN13" s="28" t="s">
        <v>27</v>
      </c>
      <c r="AR13" s="19"/>
      <c r="BE13" s="188"/>
      <c r="BS13" s="16" t="s">
        <v>6</v>
      </c>
    </row>
    <row r="14" spans="1:74" ht="12.75">
      <c r="B14" s="19"/>
      <c r="E14" s="193" t="s">
        <v>27</v>
      </c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  <c r="AH14" s="194"/>
      <c r="AI14" s="194"/>
      <c r="AJ14" s="194"/>
      <c r="AK14" s="26" t="s">
        <v>25</v>
      </c>
      <c r="AN14" s="28" t="s">
        <v>27</v>
      </c>
      <c r="AR14" s="19"/>
      <c r="BE14" s="188"/>
      <c r="BS14" s="16" t="s">
        <v>6</v>
      </c>
    </row>
    <row r="15" spans="1:74" s="1" customFormat="1" ht="6.95" customHeight="1">
      <c r="B15" s="19"/>
      <c r="AR15" s="19"/>
      <c r="BE15" s="188"/>
      <c r="BS15" s="16" t="s">
        <v>3</v>
      </c>
    </row>
    <row r="16" spans="1:74" s="1" customFormat="1" ht="12" customHeight="1">
      <c r="B16" s="19"/>
      <c r="D16" s="26" t="s">
        <v>28</v>
      </c>
      <c r="AK16" s="26" t="s">
        <v>23</v>
      </c>
      <c r="AN16" s="24" t="s">
        <v>29</v>
      </c>
      <c r="AR16" s="19"/>
      <c r="BE16" s="188"/>
      <c r="BS16" s="16" t="s">
        <v>3</v>
      </c>
    </row>
    <row r="17" spans="1:71" s="1" customFormat="1" ht="18.399999999999999" customHeight="1">
      <c r="B17" s="19"/>
      <c r="E17" s="24" t="s">
        <v>30</v>
      </c>
      <c r="AK17" s="26" t="s">
        <v>25</v>
      </c>
      <c r="AN17" s="24" t="s">
        <v>31</v>
      </c>
      <c r="AR17" s="19"/>
      <c r="BE17" s="188"/>
      <c r="BS17" s="16" t="s">
        <v>32</v>
      </c>
    </row>
    <row r="18" spans="1:71" s="1" customFormat="1" ht="6.95" customHeight="1">
      <c r="B18" s="19"/>
      <c r="AR18" s="19"/>
      <c r="BE18" s="188"/>
      <c r="BS18" s="16" t="s">
        <v>33</v>
      </c>
    </row>
    <row r="19" spans="1:71" s="1" customFormat="1" ht="12" customHeight="1">
      <c r="B19" s="19"/>
      <c r="D19" s="26" t="s">
        <v>34</v>
      </c>
      <c r="AK19" s="26" t="s">
        <v>23</v>
      </c>
      <c r="AN19" s="24" t="s">
        <v>1</v>
      </c>
      <c r="AR19" s="19"/>
      <c r="BE19" s="188"/>
      <c r="BS19" s="16" t="s">
        <v>33</v>
      </c>
    </row>
    <row r="20" spans="1:71" s="1" customFormat="1" ht="18.399999999999999" customHeight="1">
      <c r="B20" s="19"/>
      <c r="E20" s="24" t="s">
        <v>35</v>
      </c>
      <c r="AK20" s="26" t="s">
        <v>25</v>
      </c>
      <c r="AN20" s="24" t="s">
        <v>1</v>
      </c>
      <c r="AR20" s="19"/>
      <c r="BE20" s="188"/>
      <c r="BS20" s="16" t="s">
        <v>32</v>
      </c>
    </row>
    <row r="21" spans="1:71" s="1" customFormat="1" ht="6.95" customHeight="1">
      <c r="B21" s="19"/>
      <c r="AR21" s="19"/>
      <c r="BE21" s="188"/>
    </row>
    <row r="22" spans="1:71" s="1" customFormat="1" ht="12" customHeight="1">
      <c r="B22" s="19"/>
      <c r="D22" s="26" t="s">
        <v>36</v>
      </c>
      <c r="AR22" s="19"/>
      <c r="BE22" s="188"/>
    </row>
    <row r="23" spans="1:71" s="1" customFormat="1" ht="16.5" customHeight="1">
      <c r="B23" s="19"/>
      <c r="E23" s="195" t="s">
        <v>1</v>
      </c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R23" s="19"/>
      <c r="BE23" s="188"/>
    </row>
    <row r="24" spans="1:71" s="1" customFormat="1" ht="6.95" customHeight="1">
      <c r="B24" s="19"/>
      <c r="AR24" s="19"/>
      <c r="BE24" s="188"/>
    </row>
    <row r="25" spans="1:71" s="1" customFormat="1" ht="6.95" customHeight="1">
      <c r="B25" s="19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R25" s="19"/>
      <c r="BE25" s="188"/>
    </row>
    <row r="26" spans="1:71" s="2" customFormat="1" ht="25.9" customHeight="1">
      <c r="A26" s="31"/>
      <c r="B26" s="32"/>
      <c r="C26" s="31"/>
      <c r="D26" s="33" t="s">
        <v>37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196">
        <f>ROUND(AG94,2)</f>
        <v>0</v>
      </c>
      <c r="AL26" s="197"/>
      <c r="AM26" s="197"/>
      <c r="AN26" s="197"/>
      <c r="AO26" s="197"/>
      <c r="AP26" s="31"/>
      <c r="AQ26" s="31"/>
      <c r="AR26" s="32"/>
      <c r="BE26" s="188"/>
    </row>
    <row r="27" spans="1:71" s="2" customFormat="1" ht="6.95" customHeight="1">
      <c r="A27" s="31"/>
      <c r="B27" s="32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2"/>
      <c r="BE27" s="188"/>
    </row>
    <row r="28" spans="1:71" s="2" customFormat="1" ht="12.75">
      <c r="A28" s="31"/>
      <c r="B28" s="32"/>
      <c r="C28" s="31"/>
      <c r="D28" s="31"/>
      <c r="E28" s="31"/>
      <c r="F28" s="31"/>
      <c r="G28" s="31"/>
      <c r="H28" s="31"/>
      <c r="I28" s="31"/>
      <c r="J28" s="31"/>
      <c r="K28" s="31"/>
      <c r="L28" s="198" t="s">
        <v>38</v>
      </c>
      <c r="M28" s="198"/>
      <c r="N28" s="198"/>
      <c r="O28" s="198"/>
      <c r="P28" s="198"/>
      <c r="Q28" s="31"/>
      <c r="R28" s="31"/>
      <c r="S28" s="31"/>
      <c r="T28" s="31"/>
      <c r="U28" s="31"/>
      <c r="V28" s="31"/>
      <c r="W28" s="198" t="s">
        <v>39</v>
      </c>
      <c r="X28" s="198"/>
      <c r="Y28" s="198"/>
      <c r="Z28" s="198"/>
      <c r="AA28" s="198"/>
      <c r="AB28" s="198"/>
      <c r="AC28" s="198"/>
      <c r="AD28" s="198"/>
      <c r="AE28" s="198"/>
      <c r="AF28" s="31"/>
      <c r="AG28" s="31"/>
      <c r="AH28" s="31"/>
      <c r="AI28" s="31"/>
      <c r="AJ28" s="31"/>
      <c r="AK28" s="198" t="s">
        <v>40</v>
      </c>
      <c r="AL28" s="198"/>
      <c r="AM28" s="198"/>
      <c r="AN28" s="198"/>
      <c r="AO28" s="198"/>
      <c r="AP28" s="31"/>
      <c r="AQ28" s="31"/>
      <c r="AR28" s="32"/>
      <c r="BE28" s="188"/>
    </row>
    <row r="29" spans="1:71" s="3" customFormat="1" ht="14.45" customHeight="1">
      <c r="B29" s="36"/>
      <c r="D29" s="26" t="s">
        <v>41</v>
      </c>
      <c r="F29" s="26" t="s">
        <v>42</v>
      </c>
      <c r="L29" s="186">
        <v>0.2</v>
      </c>
      <c r="M29" s="185"/>
      <c r="N29" s="185"/>
      <c r="O29" s="185"/>
      <c r="P29" s="185"/>
      <c r="W29" s="184">
        <f>ROUND(AZ94, 2)</f>
        <v>0</v>
      </c>
      <c r="X29" s="185"/>
      <c r="Y29" s="185"/>
      <c r="Z29" s="185"/>
      <c r="AA29" s="185"/>
      <c r="AB29" s="185"/>
      <c r="AC29" s="185"/>
      <c r="AD29" s="185"/>
      <c r="AE29" s="185"/>
      <c r="AK29" s="184">
        <f>ROUND(AV94, 2)</f>
        <v>0</v>
      </c>
      <c r="AL29" s="185"/>
      <c r="AM29" s="185"/>
      <c r="AN29" s="185"/>
      <c r="AO29" s="185"/>
      <c r="AR29" s="36"/>
      <c r="BE29" s="189"/>
    </row>
    <row r="30" spans="1:71" s="3" customFormat="1" ht="14.45" customHeight="1">
      <c r="B30" s="36"/>
      <c r="F30" s="26" t="s">
        <v>43</v>
      </c>
      <c r="L30" s="186">
        <v>0.2</v>
      </c>
      <c r="M30" s="185"/>
      <c r="N30" s="185"/>
      <c r="O30" s="185"/>
      <c r="P30" s="185"/>
      <c r="W30" s="184">
        <f>ROUND(BA94, 2)</f>
        <v>0</v>
      </c>
      <c r="X30" s="185"/>
      <c r="Y30" s="185"/>
      <c r="Z30" s="185"/>
      <c r="AA30" s="185"/>
      <c r="AB30" s="185"/>
      <c r="AC30" s="185"/>
      <c r="AD30" s="185"/>
      <c r="AE30" s="185"/>
      <c r="AK30" s="184">
        <f>ROUND(AW94, 2)</f>
        <v>0</v>
      </c>
      <c r="AL30" s="185"/>
      <c r="AM30" s="185"/>
      <c r="AN30" s="185"/>
      <c r="AO30" s="185"/>
      <c r="AR30" s="36"/>
      <c r="BE30" s="189"/>
    </row>
    <row r="31" spans="1:71" s="3" customFormat="1" ht="14.45" hidden="1" customHeight="1">
      <c r="B31" s="36"/>
      <c r="F31" s="26" t="s">
        <v>44</v>
      </c>
      <c r="L31" s="186">
        <v>0.2</v>
      </c>
      <c r="M31" s="185"/>
      <c r="N31" s="185"/>
      <c r="O31" s="185"/>
      <c r="P31" s="185"/>
      <c r="W31" s="184">
        <f>ROUND(BB94, 2)</f>
        <v>0</v>
      </c>
      <c r="X31" s="185"/>
      <c r="Y31" s="185"/>
      <c r="Z31" s="185"/>
      <c r="AA31" s="185"/>
      <c r="AB31" s="185"/>
      <c r="AC31" s="185"/>
      <c r="AD31" s="185"/>
      <c r="AE31" s="185"/>
      <c r="AK31" s="184">
        <v>0</v>
      </c>
      <c r="AL31" s="185"/>
      <c r="AM31" s="185"/>
      <c r="AN31" s="185"/>
      <c r="AO31" s="185"/>
      <c r="AR31" s="36"/>
      <c r="BE31" s="189"/>
    </row>
    <row r="32" spans="1:71" s="3" customFormat="1" ht="14.45" hidden="1" customHeight="1">
      <c r="B32" s="36"/>
      <c r="F32" s="26" t="s">
        <v>45</v>
      </c>
      <c r="L32" s="186">
        <v>0.2</v>
      </c>
      <c r="M32" s="185"/>
      <c r="N32" s="185"/>
      <c r="O32" s="185"/>
      <c r="P32" s="185"/>
      <c r="W32" s="184">
        <f>ROUND(BC94, 2)</f>
        <v>0</v>
      </c>
      <c r="X32" s="185"/>
      <c r="Y32" s="185"/>
      <c r="Z32" s="185"/>
      <c r="AA32" s="185"/>
      <c r="AB32" s="185"/>
      <c r="AC32" s="185"/>
      <c r="AD32" s="185"/>
      <c r="AE32" s="185"/>
      <c r="AK32" s="184">
        <v>0</v>
      </c>
      <c r="AL32" s="185"/>
      <c r="AM32" s="185"/>
      <c r="AN32" s="185"/>
      <c r="AO32" s="185"/>
      <c r="AR32" s="36"/>
      <c r="BE32" s="189"/>
    </row>
    <row r="33" spans="1:57" s="3" customFormat="1" ht="14.45" hidden="1" customHeight="1">
      <c r="B33" s="36"/>
      <c r="F33" s="26" t="s">
        <v>46</v>
      </c>
      <c r="L33" s="186">
        <v>0</v>
      </c>
      <c r="M33" s="185"/>
      <c r="N33" s="185"/>
      <c r="O33" s="185"/>
      <c r="P33" s="185"/>
      <c r="W33" s="184">
        <f>ROUND(BD94, 2)</f>
        <v>0</v>
      </c>
      <c r="X33" s="185"/>
      <c r="Y33" s="185"/>
      <c r="Z33" s="185"/>
      <c r="AA33" s="185"/>
      <c r="AB33" s="185"/>
      <c r="AC33" s="185"/>
      <c r="AD33" s="185"/>
      <c r="AE33" s="185"/>
      <c r="AK33" s="184">
        <v>0</v>
      </c>
      <c r="AL33" s="185"/>
      <c r="AM33" s="185"/>
      <c r="AN33" s="185"/>
      <c r="AO33" s="185"/>
      <c r="AR33" s="36"/>
      <c r="BE33" s="189"/>
    </row>
    <row r="34" spans="1:57" s="2" customFormat="1" ht="6.95" customHeight="1">
      <c r="A34" s="31"/>
      <c r="B34" s="32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2"/>
      <c r="BE34" s="188"/>
    </row>
    <row r="35" spans="1:57" s="2" customFormat="1" ht="25.9" customHeight="1">
      <c r="A35" s="31"/>
      <c r="B35" s="32"/>
      <c r="C35" s="37"/>
      <c r="D35" s="38" t="s">
        <v>47</v>
      </c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40" t="s">
        <v>48</v>
      </c>
      <c r="U35" s="39"/>
      <c r="V35" s="39"/>
      <c r="W35" s="39"/>
      <c r="X35" s="219" t="s">
        <v>49</v>
      </c>
      <c r="Y35" s="220"/>
      <c r="Z35" s="220"/>
      <c r="AA35" s="220"/>
      <c r="AB35" s="220"/>
      <c r="AC35" s="39"/>
      <c r="AD35" s="39"/>
      <c r="AE35" s="39"/>
      <c r="AF35" s="39"/>
      <c r="AG35" s="39"/>
      <c r="AH35" s="39"/>
      <c r="AI35" s="39"/>
      <c r="AJ35" s="39"/>
      <c r="AK35" s="221">
        <f>SUM(AK26:AK33)</f>
        <v>0</v>
      </c>
      <c r="AL35" s="220"/>
      <c r="AM35" s="220"/>
      <c r="AN35" s="220"/>
      <c r="AO35" s="222"/>
      <c r="AP35" s="37"/>
      <c r="AQ35" s="37"/>
      <c r="AR35" s="32"/>
      <c r="BE35" s="31"/>
    </row>
    <row r="36" spans="1:57" s="2" customFormat="1" ht="6.95" customHeight="1">
      <c r="A36" s="31"/>
      <c r="B36" s="32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2"/>
      <c r="BE36" s="31"/>
    </row>
    <row r="37" spans="1:57" s="2" customFormat="1" ht="14.45" customHeight="1">
      <c r="A37" s="31"/>
      <c r="B37" s="32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2"/>
      <c r="BE37" s="31"/>
    </row>
    <row r="38" spans="1:57" s="1" customFormat="1" ht="14.45" customHeight="1">
      <c r="B38" s="19"/>
      <c r="AR38" s="19"/>
    </row>
    <row r="39" spans="1:57" s="1" customFormat="1" ht="14.45" customHeight="1">
      <c r="B39" s="19"/>
      <c r="AR39" s="19"/>
    </row>
    <row r="40" spans="1:57" s="1" customFormat="1" ht="14.45" customHeight="1">
      <c r="B40" s="19"/>
      <c r="AR40" s="19"/>
    </row>
    <row r="41" spans="1:57" s="1" customFormat="1" ht="14.45" customHeight="1">
      <c r="B41" s="19"/>
      <c r="AR41" s="19"/>
    </row>
    <row r="42" spans="1:57" s="1" customFormat="1" ht="14.45" customHeight="1">
      <c r="B42" s="19"/>
      <c r="AR42" s="19"/>
    </row>
    <row r="43" spans="1:57" s="1" customFormat="1" ht="14.45" customHeight="1">
      <c r="B43" s="19"/>
      <c r="AR43" s="19"/>
    </row>
    <row r="44" spans="1:57" s="1" customFormat="1" ht="14.45" customHeight="1">
      <c r="B44" s="19"/>
      <c r="AR44" s="19"/>
    </row>
    <row r="45" spans="1:57" s="1" customFormat="1" ht="14.45" customHeight="1">
      <c r="B45" s="19"/>
      <c r="AR45" s="19"/>
    </row>
    <row r="46" spans="1:57" s="1" customFormat="1" ht="14.45" customHeight="1">
      <c r="B46" s="19"/>
      <c r="AR46" s="19"/>
    </row>
    <row r="47" spans="1:57" s="1" customFormat="1" ht="14.45" customHeight="1">
      <c r="B47" s="19"/>
      <c r="AR47" s="19"/>
    </row>
    <row r="48" spans="1:57" s="1" customFormat="1" ht="14.45" customHeight="1">
      <c r="B48" s="19"/>
      <c r="AR48" s="19"/>
    </row>
    <row r="49" spans="1:57" s="2" customFormat="1" ht="14.45" customHeight="1">
      <c r="B49" s="41"/>
      <c r="D49" s="42" t="s">
        <v>50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2" t="s">
        <v>51</v>
      </c>
      <c r="AI49" s="43"/>
      <c r="AJ49" s="43"/>
      <c r="AK49" s="43"/>
      <c r="AL49" s="43"/>
      <c r="AM49" s="43"/>
      <c r="AN49" s="43"/>
      <c r="AO49" s="43"/>
      <c r="AR49" s="41"/>
    </row>
    <row r="50" spans="1:57">
      <c r="B50" s="19"/>
      <c r="AR50" s="19"/>
    </row>
    <row r="51" spans="1:57">
      <c r="B51" s="19"/>
      <c r="AR51" s="19"/>
    </row>
    <row r="52" spans="1:57">
      <c r="B52" s="19"/>
      <c r="AR52" s="19"/>
    </row>
    <row r="53" spans="1:57">
      <c r="B53" s="19"/>
      <c r="AR53" s="19"/>
    </row>
    <row r="54" spans="1:57">
      <c r="B54" s="19"/>
      <c r="AR54" s="19"/>
    </row>
    <row r="55" spans="1:57">
      <c r="B55" s="19"/>
      <c r="AR55" s="19"/>
    </row>
    <row r="56" spans="1:57">
      <c r="B56" s="19"/>
      <c r="AR56" s="19"/>
    </row>
    <row r="57" spans="1:57">
      <c r="B57" s="19"/>
      <c r="AR57" s="19"/>
    </row>
    <row r="58" spans="1:57">
      <c r="B58" s="19"/>
      <c r="AR58" s="19"/>
    </row>
    <row r="59" spans="1:57">
      <c r="B59" s="19"/>
      <c r="AR59" s="19"/>
    </row>
    <row r="60" spans="1:57" s="2" customFormat="1" ht="12.75">
      <c r="A60" s="31"/>
      <c r="B60" s="32"/>
      <c r="C60" s="31"/>
      <c r="D60" s="44" t="s">
        <v>52</v>
      </c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44" t="s">
        <v>53</v>
      </c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44" t="s">
        <v>52</v>
      </c>
      <c r="AI60" s="34"/>
      <c r="AJ60" s="34"/>
      <c r="AK60" s="34"/>
      <c r="AL60" s="34"/>
      <c r="AM60" s="44" t="s">
        <v>53</v>
      </c>
      <c r="AN60" s="34"/>
      <c r="AO60" s="34"/>
      <c r="AP60" s="31"/>
      <c r="AQ60" s="31"/>
      <c r="AR60" s="32"/>
      <c r="BE60" s="31"/>
    </row>
    <row r="61" spans="1:57">
      <c r="B61" s="19"/>
      <c r="AR61" s="19"/>
    </row>
    <row r="62" spans="1:57">
      <c r="B62" s="19"/>
      <c r="AR62" s="19"/>
    </row>
    <row r="63" spans="1:57">
      <c r="B63" s="19"/>
      <c r="AR63" s="19"/>
    </row>
    <row r="64" spans="1:57" s="2" customFormat="1" ht="12.75">
      <c r="A64" s="31"/>
      <c r="B64" s="32"/>
      <c r="C64" s="31"/>
      <c r="D64" s="42" t="s">
        <v>54</v>
      </c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2" t="s">
        <v>55</v>
      </c>
      <c r="AI64" s="45"/>
      <c r="AJ64" s="45"/>
      <c r="AK64" s="45"/>
      <c r="AL64" s="45"/>
      <c r="AM64" s="45"/>
      <c r="AN64" s="45"/>
      <c r="AO64" s="45"/>
      <c r="AP64" s="31"/>
      <c r="AQ64" s="31"/>
      <c r="AR64" s="32"/>
      <c r="BE64" s="31"/>
    </row>
    <row r="65" spans="1:57">
      <c r="B65" s="19"/>
      <c r="AR65" s="19"/>
    </row>
    <row r="66" spans="1:57">
      <c r="B66" s="19"/>
      <c r="AR66" s="19"/>
    </row>
    <row r="67" spans="1:57">
      <c r="B67" s="19"/>
      <c r="AR67" s="19"/>
    </row>
    <row r="68" spans="1:57">
      <c r="B68" s="19"/>
      <c r="AR68" s="19"/>
    </row>
    <row r="69" spans="1:57">
      <c r="B69" s="19"/>
      <c r="AR69" s="19"/>
    </row>
    <row r="70" spans="1:57">
      <c r="B70" s="19"/>
      <c r="AR70" s="19"/>
    </row>
    <row r="71" spans="1:57">
      <c r="B71" s="19"/>
      <c r="AR71" s="19"/>
    </row>
    <row r="72" spans="1:57">
      <c r="B72" s="19"/>
      <c r="AR72" s="19"/>
    </row>
    <row r="73" spans="1:57">
      <c r="B73" s="19"/>
      <c r="AR73" s="19"/>
    </row>
    <row r="74" spans="1:57">
      <c r="B74" s="19"/>
      <c r="AR74" s="19"/>
    </row>
    <row r="75" spans="1:57" s="2" customFormat="1" ht="12.75">
      <c r="A75" s="31"/>
      <c r="B75" s="32"/>
      <c r="C75" s="31"/>
      <c r="D75" s="44" t="s">
        <v>52</v>
      </c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44" t="s">
        <v>53</v>
      </c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44" t="s">
        <v>52</v>
      </c>
      <c r="AI75" s="34"/>
      <c r="AJ75" s="34"/>
      <c r="AK75" s="34"/>
      <c r="AL75" s="34"/>
      <c r="AM75" s="44" t="s">
        <v>53</v>
      </c>
      <c r="AN75" s="34"/>
      <c r="AO75" s="34"/>
      <c r="AP75" s="31"/>
      <c r="AQ75" s="31"/>
      <c r="AR75" s="32"/>
      <c r="BE75" s="31"/>
    </row>
    <row r="76" spans="1:57" s="2" customFormat="1">
      <c r="A76" s="31"/>
      <c r="B76" s="32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2"/>
      <c r="BE76" s="31"/>
    </row>
    <row r="77" spans="1:57" s="2" customFormat="1" ht="6.95" customHeight="1">
      <c r="A77" s="31"/>
      <c r="B77" s="46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32"/>
      <c r="BE77" s="31"/>
    </row>
    <row r="81" spans="1:91" s="2" customFormat="1" ht="6.95" customHeight="1">
      <c r="A81" s="31"/>
      <c r="B81" s="48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32"/>
      <c r="BE81" s="31"/>
    </row>
    <row r="82" spans="1:91" s="2" customFormat="1" ht="24.95" customHeight="1">
      <c r="A82" s="31"/>
      <c r="B82" s="32"/>
      <c r="C82" s="20" t="s">
        <v>56</v>
      </c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2"/>
      <c r="BE82" s="31"/>
    </row>
    <row r="83" spans="1:91" s="2" customFormat="1" ht="6.95" customHeight="1">
      <c r="A83" s="31"/>
      <c r="B83" s="32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2"/>
      <c r="BE83" s="31"/>
    </row>
    <row r="84" spans="1:91" s="4" customFormat="1" ht="12" customHeight="1">
      <c r="B84" s="50"/>
      <c r="C84" s="26" t="s">
        <v>11</v>
      </c>
      <c r="L84" s="4" t="str">
        <f>K5</f>
        <v>SL20210202</v>
      </c>
      <c r="AR84" s="50"/>
    </row>
    <row r="85" spans="1:91" s="5" customFormat="1" ht="36.950000000000003" customHeight="1">
      <c r="B85" s="51"/>
      <c r="C85" s="52" t="s">
        <v>14</v>
      </c>
      <c r="L85" s="210" t="str">
        <f>K6</f>
        <v>Most na MK v Ochodnici</v>
      </c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1"/>
      <c r="X85" s="211"/>
      <c r="Y85" s="211"/>
      <c r="Z85" s="211"/>
      <c r="AA85" s="211"/>
      <c r="AB85" s="211"/>
      <c r="AC85" s="211"/>
      <c r="AD85" s="211"/>
      <c r="AE85" s="211"/>
      <c r="AF85" s="211"/>
      <c r="AG85" s="211"/>
      <c r="AH85" s="211"/>
      <c r="AI85" s="211"/>
      <c r="AJ85" s="211"/>
      <c r="AK85" s="211"/>
      <c r="AL85" s="211"/>
      <c r="AM85" s="211"/>
      <c r="AN85" s="211"/>
      <c r="AO85" s="211"/>
      <c r="AR85" s="51"/>
    </row>
    <row r="86" spans="1:91" s="2" customFormat="1" ht="6.95" customHeight="1">
      <c r="A86" s="31"/>
      <c r="B86" s="32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2"/>
      <c r="BE86" s="31"/>
    </row>
    <row r="87" spans="1:91" s="2" customFormat="1" ht="12" customHeight="1">
      <c r="A87" s="31"/>
      <c r="B87" s="32"/>
      <c r="C87" s="26" t="s">
        <v>18</v>
      </c>
      <c r="D87" s="31"/>
      <c r="E87" s="31"/>
      <c r="F87" s="31"/>
      <c r="G87" s="31"/>
      <c r="H87" s="31"/>
      <c r="I87" s="31"/>
      <c r="J87" s="31"/>
      <c r="K87" s="31"/>
      <c r="L87" s="53" t="str">
        <f>IF(K8="","",K8)</f>
        <v>Ochodnica</v>
      </c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26" t="s">
        <v>20</v>
      </c>
      <c r="AJ87" s="31"/>
      <c r="AK87" s="31"/>
      <c r="AL87" s="31"/>
      <c r="AM87" s="212" t="str">
        <f>IF(AN8= "","",AN8)</f>
        <v>2. 2. 2021</v>
      </c>
      <c r="AN87" s="212"/>
      <c r="AO87" s="31"/>
      <c r="AP87" s="31"/>
      <c r="AQ87" s="31"/>
      <c r="AR87" s="32"/>
      <c r="BE87" s="31"/>
    </row>
    <row r="88" spans="1:91" s="2" customFormat="1" ht="6.95" customHeight="1">
      <c r="A88" s="31"/>
      <c r="B88" s="32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2"/>
      <c r="BE88" s="31"/>
    </row>
    <row r="89" spans="1:91" s="2" customFormat="1" ht="15.2" customHeight="1">
      <c r="A89" s="31"/>
      <c r="B89" s="32"/>
      <c r="C89" s="26" t="s">
        <v>22</v>
      </c>
      <c r="D89" s="31"/>
      <c r="E89" s="31"/>
      <c r="F89" s="31"/>
      <c r="G89" s="31"/>
      <c r="H89" s="31"/>
      <c r="I89" s="31"/>
      <c r="J89" s="31"/>
      <c r="K89" s="31"/>
      <c r="L89" s="4" t="str">
        <f>IF(E11= "","",E11)</f>
        <v>Obec Ochodnica</v>
      </c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26" t="s">
        <v>28</v>
      </c>
      <c r="AJ89" s="31"/>
      <c r="AK89" s="31"/>
      <c r="AL89" s="31"/>
      <c r="AM89" s="213" t="str">
        <f>IF(E17="","",E17)</f>
        <v>TASUM, s.r.o.</v>
      </c>
      <c r="AN89" s="214"/>
      <c r="AO89" s="214"/>
      <c r="AP89" s="214"/>
      <c r="AQ89" s="31"/>
      <c r="AR89" s="32"/>
      <c r="AS89" s="215" t="s">
        <v>57</v>
      </c>
      <c r="AT89" s="216"/>
      <c r="AU89" s="55"/>
      <c r="AV89" s="55"/>
      <c r="AW89" s="55"/>
      <c r="AX89" s="55"/>
      <c r="AY89" s="55"/>
      <c r="AZ89" s="55"/>
      <c r="BA89" s="55"/>
      <c r="BB89" s="55"/>
      <c r="BC89" s="55"/>
      <c r="BD89" s="56"/>
      <c r="BE89" s="31"/>
    </row>
    <row r="90" spans="1:91" s="2" customFormat="1" ht="15.2" customHeight="1">
      <c r="A90" s="31"/>
      <c r="B90" s="32"/>
      <c r="C90" s="26" t="s">
        <v>26</v>
      </c>
      <c r="D90" s="31"/>
      <c r="E90" s="31"/>
      <c r="F90" s="31"/>
      <c r="G90" s="31"/>
      <c r="H90" s="31"/>
      <c r="I90" s="31"/>
      <c r="J90" s="31"/>
      <c r="K90" s="31"/>
      <c r="L90" s="4" t="str">
        <f>IF(E14= "Vyplň údaj","",E14)</f>
        <v/>
      </c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26" t="s">
        <v>34</v>
      </c>
      <c r="AJ90" s="31"/>
      <c r="AK90" s="31"/>
      <c r="AL90" s="31"/>
      <c r="AM90" s="213" t="str">
        <f>IF(E20="","",E20)</f>
        <v xml:space="preserve"> </v>
      </c>
      <c r="AN90" s="214"/>
      <c r="AO90" s="214"/>
      <c r="AP90" s="214"/>
      <c r="AQ90" s="31"/>
      <c r="AR90" s="32"/>
      <c r="AS90" s="217"/>
      <c r="AT90" s="218"/>
      <c r="AU90" s="57"/>
      <c r="AV90" s="57"/>
      <c r="AW90" s="57"/>
      <c r="AX90" s="57"/>
      <c r="AY90" s="57"/>
      <c r="AZ90" s="57"/>
      <c r="BA90" s="57"/>
      <c r="BB90" s="57"/>
      <c r="BC90" s="57"/>
      <c r="BD90" s="58"/>
      <c r="BE90" s="31"/>
    </row>
    <row r="91" spans="1:91" s="2" customFormat="1" ht="10.9" customHeight="1">
      <c r="A91" s="31"/>
      <c r="B91" s="32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2"/>
      <c r="AS91" s="217"/>
      <c r="AT91" s="218"/>
      <c r="AU91" s="57"/>
      <c r="AV91" s="57"/>
      <c r="AW91" s="57"/>
      <c r="AX91" s="57"/>
      <c r="AY91" s="57"/>
      <c r="AZ91" s="57"/>
      <c r="BA91" s="57"/>
      <c r="BB91" s="57"/>
      <c r="BC91" s="57"/>
      <c r="BD91" s="58"/>
      <c r="BE91" s="31"/>
    </row>
    <row r="92" spans="1:91" s="2" customFormat="1" ht="29.25" customHeight="1">
      <c r="A92" s="31"/>
      <c r="B92" s="32"/>
      <c r="C92" s="205" t="s">
        <v>58</v>
      </c>
      <c r="D92" s="206"/>
      <c r="E92" s="206"/>
      <c r="F92" s="206"/>
      <c r="G92" s="206"/>
      <c r="H92" s="59"/>
      <c r="I92" s="207" t="s">
        <v>59</v>
      </c>
      <c r="J92" s="206"/>
      <c r="K92" s="206"/>
      <c r="L92" s="206"/>
      <c r="M92" s="206"/>
      <c r="N92" s="206"/>
      <c r="O92" s="206"/>
      <c r="P92" s="206"/>
      <c r="Q92" s="206"/>
      <c r="R92" s="206"/>
      <c r="S92" s="206"/>
      <c r="T92" s="206"/>
      <c r="U92" s="206"/>
      <c r="V92" s="206"/>
      <c r="W92" s="206"/>
      <c r="X92" s="206"/>
      <c r="Y92" s="206"/>
      <c r="Z92" s="206"/>
      <c r="AA92" s="206"/>
      <c r="AB92" s="206"/>
      <c r="AC92" s="206"/>
      <c r="AD92" s="206"/>
      <c r="AE92" s="206"/>
      <c r="AF92" s="206"/>
      <c r="AG92" s="208" t="s">
        <v>60</v>
      </c>
      <c r="AH92" s="206"/>
      <c r="AI92" s="206"/>
      <c r="AJ92" s="206"/>
      <c r="AK92" s="206"/>
      <c r="AL92" s="206"/>
      <c r="AM92" s="206"/>
      <c r="AN92" s="207" t="s">
        <v>61</v>
      </c>
      <c r="AO92" s="206"/>
      <c r="AP92" s="209"/>
      <c r="AQ92" s="60" t="s">
        <v>62</v>
      </c>
      <c r="AR92" s="32"/>
      <c r="AS92" s="61" t="s">
        <v>63</v>
      </c>
      <c r="AT92" s="62" t="s">
        <v>64</v>
      </c>
      <c r="AU92" s="62" t="s">
        <v>65</v>
      </c>
      <c r="AV92" s="62" t="s">
        <v>66</v>
      </c>
      <c r="AW92" s="62" t="s">
        <v>67</v>
      </c>
      <c r="AX92" s="62" t="s">
        <v>68</v>
      </c>
      <c r="AY92" s="62" t="s">
        <v>69</v>
      </c>
      <c r="AZ92" s="62" t="s">
        <v>70</v>
      </c>
      <c r="BA92" s="62" t="s">
        <v>71</v>
      </c>
      <c r="BB92" s="62" t="s">
        <v>72</v>
      </c>
      <c r="BC92" s="62" t="s">
        <v>73</v>
      </c>
      <c r="BD92" s="63" t="s">
        <v>74</v>
      </c>
      <c r="BE92" s="31"/>
    </row>
    <row r="93" spans="1:91" s="2" customFormat="1" ht="10.9" customHeight="1">
      <c r="A93" s="31"/>
      <c r="B93" s="32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2"/>
      <c r="AS93" s="64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6"/>
      <c r="BE93" s="31"/>
    </row>
    <row r="94" spans="1:91" s="6" customFormat="1" ht="32.450000000000003" customHeight="1">
      <c r="B94" s="67"/>
      <c r="C94" s="68" t="s">
        <v>75</v>
      </c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202">
        <f>ROUND(AG95,2)</f>
        <v>0</v>
      </c>
      <c r="AH94" s="202"/>
      <c r="AI94" s="202"/>
      <c r="AJ94" s="202"/>
      <c r="AK94" s="202"/>
      <c r="AL94" s="202"/>
      <c r="AM94" s="202"/>
      <c r="AN94" s="203">
        <f>SUM(AG94,AT94)</f>
        <v>0</v>
      </c>
      <c r="AO94" s="203"/>
      <c r="AP94" s="203"/>
      <c r="AQ94" s="71" t="s">
        <v>1</v>
      </c>
      <c r="AR94" s="67"/>
      <c r="AS94" s="72">
        <f>ROUND(AS95,2)</f>
        <v>0</v>
      </c>
      <c r="AT94" s="73">
        <f>ROUND(SUM(AV94:AW94),2)</f>
        <v>0</v>
      </c>
      <c r="AU94" s="74">
        <f>ROUND(AU95,5)</f>
        <v>0</v>
      </c>
      <c r="AV94" s="73">
        <f>ROUND(AZ94*L29,2)</f>
        <v>0</v>
      </c>
      <c r="AW94" s="73">
        <f>ROUND(BA94*L30,2)</f>
        <v>0</v>
      </c>
      <c r="AX94" s="73">
        <f>ROUND(BB94*L29,2)</f>
        <v>0</v>
      </c>
      <c r="AY94" s="73">
        <f>ROUND(BC94*L30,2)</f>
        <v>0</v>
      </c>
      <c r="AZ94" s="73">
        <f>ROUND(AZ95,2)</f>
        <v>0</v>
      </c>
      <c r="BA94" s="73">
        <f>ROUND(BA95,2)</f>
        <v>0</v>
      </c>
      <c r="BB94" s="73">
        <f>ROUND(BB95,2)</f>
        <v>0</v>
      </c>
      <c r="BC94" s="73">
        <f>ROUND(BC95,2)</f>
        <v>0</v>
      </c>
      <c r="BD94" s="75">
        <f>ROUND(BD95,2)</f>
        <v>0</v>
      </c>
      <c r="BS94" s="76" t="s">
        <v>76</v>
      </c>
      <c r="BT94" s="76" t="s">
        <v>77</v>
      </c>
      <c r="BU94" s="77" t="s">
        <v>78</v>
      </c>
      <c r="BV94" s="76" t="s">
        <v>79</v>
      </c>
      <c r="BW94" s="76" t="s">
        <v>4</v>
      </c>
      <c r="BX94" s="76" t="s">
        <v>80</v>
      </c>
      <c r="CL94" s="76" t="s">
        <v>1</v>
      </c>
    </row>
    <row r="95" spans="1:91" s="7" customFormat="1" ht="24.75" customHeight="1">
      <c r="A95" s="78" t="s">
        <v>81</v>
      </c>
      <c r="B95" s="79"/>
      <c r="C95" s="80"/>
      <c r="D95" s="201" t="s">
        <v>82</v>
      </c>
      <c r="E95" s="201"/>
      <c r="F95" s="201"/>
      <c r="G95" s="201"/>
      <c r="H95" s="201"/>
      <c r="I95" s="81"/>
      <c r="J95" s="201" t="s">
        <v>83</v>
      </c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X95" s="201"/>
      <c r="Y95" s="201"/>
      <c r="Z95" s="201"/>
      <c r="AA95" s="201"/>
      <c r="AB95" s="201"/>
      <c r="AC95" s="201"/>
      <c r="AD95" s="201"/>
      <c r="AE95" s="201"/>
      <c r="AF95" s="201"/>
      <c r="AG95" s="199">
        <f>'SO-1 - Rekonštrukcia most...'!J30</f>
        <v>0</v>
      </c>
      <c r="AH95" s="200"/>
      <c r="AI95" s="200"/>
      <c r="AJ95" s="200"/>
      <c r="AK95" s="200"/>
      <c r="AL95" s="200"/>
      <c r="AM95" s="200"/>
      <c r="AN95" s="199">
        <f>SUM(AG95,AT95)</f>
        <v>0</v>
      </c>
      <c r="AO95" s="200"/>
      <c r="AP95" s="200"/>
      <c r="AQ95" s="82" t="s">
        <v>84</v>
      </c>
      <c r="AR95" s="79"/>
      <c r="AS95" s="83">
        <v>0</v>
      </c>
      <c r="AT95" s="84">
        <f>ROUND(SUM(AV95:AW95),2)</f>
        <v>0</v>
      </c>
      <c r="AU95" s="85">
        <f>'SO-1 - Rekonštrukcia most...'!P126</f>
        <v>0</v>
      </c>
      <c r="AV95" s="84">
        <f>'SO-1 - Rekonštrukcia most...'!J33</f>
        <v>0</v>
      </c>
      <c r="AW95" s="84">
        <f>'SO-1 - Rekonštrukcia most...'!J34</f>
        <v>0</v>
      </c>
      <c r="AX95" s="84">
        <f>'SO-1 - Rekonštrukcia most...'!J35</f>
        <v>0</v>
      </c>
      <c r="AY95" s="84">
        <f>'SO-1 - Rekonštrukcia most...'!J36</f>
        <v>0</v>
      </c>
      <c r="AZ95" s="84">
        <f>'SO-1 - Rekonštrukcia most...'!F33</f>
        <v>0</v>
      </c>
      <c r="BA95" s="84">
        <f>'SO-1 - Rekonštrukcia most...'!F34</f>
        <v>0</v>
      </c>
      <c r="BB95" s="84">
        <f>'SO-1 - Rekonštrukcia most...'!F35</f>
        <v>0</v>
      </c>
      <c r="BC95" s="84">
        <f>'SO-1 - Rekonštrukcia most...'!F36</f>
        <v>0</v>
      </c>
      <c r="BD95" s="86">
        <f>'SO-1 - Rekonštrukcia most...'!F37</f>
        <v>0</v>
      </c>
      <c r="BT95" s="87" t="s">
        <v>85</v>
      </c>
      <c r="BV95" s="87" t="s">
        <v>79</v>
      </c>
      <c r="BW95" s="87" t="s">
        <v>86</v>
      </c>
      <c r="BX95" s="87" t="s">
        <v>4</v>
      </c>
      <c r="CL95" s="87" t="s">
        <v>1</v>
      </c>
      <c r="CM95" s="87" t="s">
        <v>77</v>
      </c>
    </row>
    <row r="96" spans="1:91" s="2" customFormat="1" ht="30" customHeight="1">
      <c r="A96" s="31"/>
      <c r="B96" s="32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2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</row>
    <row r="97" spans="1:57" s="2" customFormat="1" ht="6.95" customHeight="1">
      <c r="A97" s="31"/>
      <c r="B97" s="46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32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</row>
  </sheetData>
  <mergeCells count="42">
    <mergeCell ref="AR2:BE2"/>
    <mergeCell ref="C92:G92"/>
    <mergeCell ref="I92:AF92"/>
    <mergeCell ref="AG92:AM92"/>
    <mergeCell ref="AN92:AP92"/>
    <mergeCell ref="L85:AO85"/>
    <mergeCell ref="AM87:AN87"/>
    <mergeCell ref="AM89:AP89"/>
    <mergeCell ref="AS89:AT91"/>
    <mergeCell ref="AM90:AP90"/>
    <mergeCell ref="W33:AE33"/>
    <mergeCell ref="AK33:AO33"/>
    <mergeCell ref="L33:P33"/>
    <mergeCell ref="X35:AB35"/>
    <mergeCell ref="AK35:AO35"/>
    <mergeCell ref="AK31:AO31"/>
    <mergeCell ref="AN95:AP95"/>
    <mergeCell ref="AG95:AM95"/>
    <mergeCell ref="D95:H95"/>
    <mergeCell ref="J95:AF95"/>
    <mergeCell ref="AG94:AM94"/>
    <mergeCell ref="AN94:AP94"/>
    <mergeCell ref="W32:AE32"/>
    <mergeCell ref="AK32:AO32"/>
    <mergeCell ref="L32:P32"/>
    <mergeCell ref="BE5:BE34"/>
    <mergeCell ref="K5:AO5"/>
    <mergeCell ref="K6:AO6"/>
    <mergeCell ref="E14:AJ14"/>
    <mergeCell ref="E23:AN23"/>
    <mergeCell ref="AK26:AO26"/>
    <mergeCell ref="L28:P28"/>
    <mergeCell ref="W28:AE28"/>
    <mergeCell ref="AK28:AO28"/>
    <mergeCell ref="W29:AE29"/>
    <mergeCell ref="AK29:AO29"/>
    <mergeCell ref="L29:P29"/>
    <mergeCell ref="W30:AE30"/>
    <mergeCell ref="AK30:AO30"/>
    <mergeCell ref="L30:P30"/>
    <mergeCell ref="W31:AE31"/>
    <mergeCell ref="L31:P31"/>
  </mergeCells>
  <hyperlinks>
    <hyperlink ref="A95" location="'SO-1 - Rekonštrukcia most...'!C2" display="/"/>
  </hyperlinks>
  <pageMargins left="0.39374999999999999" right="0.39374999999999999" top="0.39374999999999999" bottom="0.39374999999999999" header="0" footer="0"/>
  <pageSetup paperSize="9" fitToHeight="100" orientation="portrait" blackAndWhite="1"/>
  <headerFooter>
    <oddFooter>&amp;CStrana &amp;P z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BM237"/>
  <sheetViews>
    <sheetView showGridLines="0" tabSelected="1" topLeftCell="A229" zoomScale="145" zoomScaleNormal="145" workbookViewId="0">
      <selection activeCell="J120" sqref="J120"/>
    </sheetView>
  </sheetViews>
  <sheetFormatPr defaultRowHeight="11.25"/>
  <cols>
    <col min="1" max="1" width="8.33203125" style="1" customWidth="1"/>
    <col min="2" max="2" width="1.1640625" style="1" customWidth="1"/>
    <col min="3" max="3" width="4.1640625" style="1" customWidth="1"/>
    <col min="4" max="4" width="4.33203125" style="1" customWidth="1"/>
    <col min="5" max="5" width="17.1640625" style="1" customWidth="1"/>
    <col min="6" max="6" width="50.83203125" style="1" customWidth="1"/>
    <col min="7" max="7" width="7.5" style="1" customWidth="1"/>
    <col min="8" max="8" width="11.5" style="1" customWidth="1"/>
    <col min="9" max="10" width="20.1640625" style="1" customWidth="1"/>
    <col min="11" max="11" width="20.1640625" style="1" hidden="1" customWidth="1"/>
    <col min="12" max="12" width="9.33203125" style="1" customWidth="1"/>
    <col min="13" max="13" width="10.83203125" style="1" hidden="1" customWidth="1"/>
    <col min="14" max="14" width="9.33203125" style="1" hidden="1"/>
    <col min="15" max="20" width="14.1640625" style="1" hidden="1" customWidth="1"/>
    <col min="21" max="21" width="16.33203125" style="1" hidden="1" customWidth="1"/>
    <col min="22" max="22" width="12.33203125" style="1" customWidth="1"/>
    <col min="23" max="23" width="16.33203125" style="1" customWidth="1"/>
    <col min="24" max="24" width="12.33203125" style="1" customWidth="1"/>
    <col min="25" max="25" width="15" style="1" customWidth="1"/>
    <col min="26" max="26" width="11" style="1" customWidth="1"/>
    <col min="27" max="27" width="15" style="1" customWidth="1"/>
    <col min="28" max="28" width="16.33203125" style="1" customWidth="1"/>
    <col min="29" max="29" width="11" style="1" customWidth="1"/>
    <col min="30" max="30" width="15" style="1" customWidth="1"/>
    <col min="31" max="31" width="16.33203125" style="1" customWidth="1"/>
    <col min="44" max="65" width="9.33203125" style="1" hidden="1"/>
  </cols>
  <sheetData>
    <row r="2" spans="1:46" s="1" customFormat="1" ht="36.950000000000003" customHeight="1">
      <c r="L2" s="204" t="s">
        <v>5</v>
      </c>
      <c r="M2" s="191"/>
      <c r="N2" s="191"/>
      <c r="O2" s="191"/>
      <c r="P2" s="191"/>
      <c r="Q2" s="191"/>
      <c r="R2" s="191"/>
      <c r="S2" s="191"/>
      <c r="T2" s="191"/>
      <c r="U2" s="191"/>
      <c r="V2" s="191"/>
      <c r="AT2" s="16" t="s">
        <v>86</v>
      </c>
    </row>
    <row r="3" spans="1:46" s="1" customFormat="1" ht="6.95" hidden="1" customHeight="1">
      <c r="B3" s="17"/>
      <c r="C3" s="18"/>
      <c r="D3" s="18"/>
      <c r="E3" s="18"/>
      <c r="F3" s="18"/>
      <c r="G3" s="18"/>
      <c r="H3" s="18"/>
      <c r="I3" s="18"/>
      <c r="J3" s="18"/>
      <c r="K3" s="18"/>
      <c r="L3" s="19"/>
      <c r="AT3" s="16" t="s">
        <v>77</v>
      </c>
    </row>
    <row r="4" spans="1:46" s="1" customFormat="1" ht="24.95" hidden="1" customHeight="1">
      <c r="B4" s="19"/>
      <c r="D4" s="20" t="s">
        <v>87</v>
      </c>
      <c r="L4" s="19"/>
      <c r="M4" s="88" t="s">
        <v>9</v>
      </c>
      <c r="AT4" s="16" t="s">
        <v>3</v>
      </c>
    </row>
    <row r="5" spans="1:46" s="1" customFormat="1" ht="6.95" hidden="1" customHeight="1">
      <c r="B5" s="19"/>
      <c r="L5" s="19"/>
    </row>
    <row r="6" spans="1:46" s="1" customFormat="1" ht="12" hidden="1" customHeight="1">
      <c r="B6" s="19"/>
      <c r="D6" s="26" t="s">
        <v>14</v>
      </c>
      <c r="L6" s="19"/>
    </row>
    <row r="7" spans="1:46" s="1" customFormat="1" ht="16.5" hidden="1" customHeight="1">
      <c r="B7" s="19"/>
      <c r="E7" s="224" t="str">
        <f>'Rekapitulácia stavby'!K6</f>
        <v>Most na MK v Ochodnici</v>
      </c>
      <c r="F7" s="225"/>
      <c r="G7" s="225"/>
      <c r="H7" s="225"/>
      <c r="L7" s="19"/>
    </row>
    <row r="8" spans="1:46" s="2" customFormat="1" ht="12" hidden="1" customHeight="1">
      <c r="A8" s="31"/>
      <c r="B8" s="32"/>
      <c r="C8" s="31"/>
      <c r="D8" s="26" t="s">
        <v>88</v>
      </c>
      <c r="E8" s="31"/>
      <c r="F8" s="31"/>
      <c r="G8" s="31"/>
      <c r="H8" s="31"/>
      <c r="I8" s="31"/>
      <c r="J8" s="31"/>
      <c r="K8" s="31"/>
      <c r="L8" s="4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</row>
    <row r="9" spans="1:46" s="2" customFormat="1" ht="16.5" hidden="1" customHeight="1">
      <c r="A9" s="31"/>
      <c r="B9" s="32"/>
      <c r="C9" s="31"/>
      <c r="D9" s="31"/>
      <c r="E9" s="210" t="s">
        <v>89</v>
      </c>
      <c r="F9" s="223"/>
      <c r="G9" s="223"/>
      <c r="H9" s="223"/>
      <c r="I9" s="31"/>
      <c r="J9" s="31"/>
      <c r="K9" s="31"/>
      <c r="L9" s="4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</row>
    <row r="10" spans="1:46" s="2" customFormat="1" hidden="1">
      <c r="A10" s="31"/>
      <c r="B10" s="32"/>
      <c r="C10" s="31"/>
      <c r="D10" s="31"/>
      <c r="E10" s="31"/>
      <c r="F10" s="31"/>
      <c r="G10" s="31"/>
      <c r="H10" s="31"/>
      <c r="I10" s="31"/>
      <c r="J10" s="31"/>
      <c r="K10" s="31"/>
      <c r="L10" s="4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</row>
    <row r="11" spans="1:46" s="2" customFormat="1" ht="12" hidden="1" customHeight="1">
      <c r="A11" s="31"/>
      <c r="B11" s="32"/>
      <c r="C11" s="31"/>
      <c r="D11" s="26" t="s">
        <v>16</v>
      </c>
      <c r="E11" s="31"/>
      <c r="F11" s="24" t="s">
        <v>1</v>
      </c>
      <c r="G11" s="31"/>
      <c r="H11" s="31"/>
      <c r="I11" s="26" t="s">
        <v>17</v>
      </c>
      <c r="J11" s="24" t="s">
        <v>1</v>
      </c>
      <c r="K11" s="31"/>
      <c r="L11" s="4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</row>
    <row r="12" spans="1:46" s="2" customFormat="1" ht="12" hidden="1" customHeight="1">
      <c r="A12" s="31"/>
      <c r="B12" s="32"/>
      <c r="C12" s="31"/>
      <c r="D12" s="26" t="s">
        <v>18</v>
      </c>
      <c r="E12" s="31"/>
      <c r="F12" s="24" t="s">
        <v>19</v>
      </c>
      <c r="G12" s="31"/>
      <c r="H12" s="31"/>
      <c r="I12" s="26" t="s">
        <v>20</v>
      </c>
      <c r="J12" s="54" t="str">
        <f>'Rekapitulácia stavby'!AN8</f>
        <v>2. 2. 2021</v>
      </c>
      <c r="K12" s="31"/>
      <c r="L12" s="4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</row>
    <row r="13" spans="1:46" s="2" customFormat="1" ht="10.9" hidden="1" customHeight="1">
      <c r="A13" s="31"/>
      <c r="B13" s="32"/>
      <c r="C13" s="31"/>
      <c r="D13" s="31"/>
      <c r="E13" s="31"/>
      <c r="F13" s="31"/>
      <c r="G13" s="31"/>
      <c r="H13" s="31"/>
      <c r="I13" s="31"/>
      <c r="J13" s="31"/>
      <c r="K13" s="31"/>
      <c r="L13" s="4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</row>
    <row r="14" spans="1:46" s="2" customFormat="1" ht="12" hidden="1" customHeight="1">
      <c r="A14" s="31"/>
      <c r="B14" s="32"/>
      <c r="C14" s="31"/>
      <c r="D14" s="26" t="s">
        <v>22</v>
      </c>
      <c r="E14" s="31"/>
      <c r="F14" s="31"/>
      <c r="G14" s="31"/>
      <c r="H14" s="31"/>
      <c r="I14" s="26" t="s">
        <v>23</v>
      </c>
      <c r="J14" s="24" t="s">
        <v>1</v>
      </c>
      <c r="K14" s="31"/>
      <c r="L14" s="4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</row>
    <row r="15" spans="1:46" s="2" customFormat="1" ht="18" hidden="1" customHeight="1">
      <c r="A15" s="31"/>
      <c r="B15" s="32"/>
      <c r="C15" s="31"/>
      <c r="D15" s="31"/>
      <c r="E15" s="24" t="s">
        <v>24</v>
      </c>
      <c r="F15" s="31"/>
      <c r="G15" s="31"/>
      <c r="H15" s="31"/>
      <c r="I15" s="26" t="s">
        <v>25</v>
      </c>
      <c r="J15" s="24" t="s">
        <v>1</v>
      </c>
      <c r="K15" s="31"/>
      <c r="L15" s="4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</row>
    <row r="16" spans="1:46" s="2" customFormat="1" ht="6.95" hidden="1" customHeight="1">
      <c r="A16" s="31"/>
      <c r="B16" s="32"/>
      <c r="C16" s="31"/>
      <c r="D16" s="31"/>
      <c r="E16" s="31"/>
      <c r="F16" s="31"/>
      <c r="G16" s="31"/>
      <c r="H16" s="31"/>
      <c r="I16" s="31"/>
      <c r="J16" s="31"/>
      <c r="K16" s="31"/>
      <c r="L16" s="4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</row>
    <row r="17" spans="1:31" s="2" customFormat="1" ht="12" hidden="1" customHeight="1">
      <c r="A17" s="31"/>
      <c r="B17" s="32"/>
      <c r="C17" s="31"/>
      <c r="D17" s="26" t="s">
        <v>26</v>
      </c>
      <c r="E17" s="31"/>
      <c r="F17" s="31"/>
      <c r="G17" s="31"/>
      <c r="H17" s="31"/>
      <c r="I17" s="26" t="s">
        <v>23</v>
      </c>
      <c r="J17" s="27" t="str">
        <f>'Rekapitulácia stavby'!AN13</f>
        <v>Vyplň údaj</v>
      </c>
      <c r="K17" s="31"/>
      <c r="L17" s="4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</row>
    <row r="18" spans="1:31" s="2" customFormat="1" ht="18" hidden="1" customHeight="1">
      <c r="A18" s="31"/>
      <c r="B18" s="32"/>
      <c r="C18" s="31"/>
      <c r="D18" s="31"/>
      <c r="E18" s="226" t="str">
        <f>'Rekapitulácia stavby'!E14</f>
        <v>Vyplň údaj</v>
      </c>
      <c r="F18" s="190"/>
      <c r="G18" s="190"/>
      <c r="H18" s="190"/>
      <c r="I18" s="26" t="s">
        <v>25</v>
      </c>
      <c r="J18" s="27" t="str">
        <f>'Rekapitulácia stavby'!AN14</f>
        <v>Vyplň údaj</v>
      </c>
      <c r="K18" s="31"/>
      <c r="L18" s="4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</row>
    <row r="19" spans="1:31" s="2" customFormat="1" ht="6.95" hidden="1" customHeight="1">
      <c r="A19" s="31"/>
      <c r="B19" s="32"/>
      <c r="C19" s="31"/>
      <c r="D19" s="31"/>
      <c r="E19" s="31"/>
      <c r="F19" s="31"/>
      <c r="G19" s="31"/>
      <c r="H19" s="31"/>
      <c r="I19" s="31"/>
      <c r="J19" s="31"/>
      <c r="K19" s="31"/>
      <c r="L19" s="4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</row>
    <row r="20" spans="1:31" s="2" customFormat="1" ht="12" hidden="1" customHeight="1">
      <c r="A20" s="31"/>
      <c r="B20" s="32"/>
      <c r="C20" s="31"/>
      <c r="D20" s="26" t="s">
        <v>28</v>
      </c>
      <c r="E20" s="31"/>
      <c r="F20" s="31"/>
      <c r="G20" s="31"/>
      <c r="H20" s="31"/>
      <c r="I20" s="26" t="s">
        <v>23</v>
      </c>
      <c r="J20" s="24" t="s">
        <v>29</v>
      </c>
      <c r="K20" s="31"/>
      <c r="L20" s="4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</row>
    <row r="21" spans="1:31" s="2" customFormat="1" ht="18" hidden="1" customHeight="1">
      <c r="A21" s="31"/>
      <c r="B21" s="32"/>
      <c r="C21" s="31"/>
      <c r="D21" s="31"/>
      <c r="E21" s="24" t="s">
        <v>30</v>
      </c>
      <c r="F21" s="31"/>
      <c r="G21" s="31"/>
      <c r="H21" s="31"/>
      <c r="I21" s="26" t="s">
        <v>25</v>
      </c>
      <c r="J21" s="24" t="s">
        <v>31</v>
      </c>
      <c r="K21" s="31"/>
      <c r="L21" s="4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</row>
    <row r="22" spans="1:31" s="2" customFormat="1" ht="6.95" hidden="1" customHeight="1">
      <c r="A22" s="31"/>
      <c r="B22" s="32"/>
      <c r="C22" s="31"/>
      <c r="D22" s="31"/>
      <c r="E22" s="31"/>
      <c r="F22" s="31"/>
      <c r="G22" s="31"/>
      <c r="H22" s="31"/>
      <c r="I22" s="31"/>
      <c r="J22" s="31"/>
      <c r="K22" s="31"/>
      <c r="L22" s="4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</row>
    <row r="23" spans="1:31" s="2" customFormat="1" ht="12" hidden="1" customHeight="1">
      <c r="A23" s="31"/>
      <c r="B23" s="32"/>
      <c r="C23" s="31"/>
      <c r="D23" s="26" t="s">
        <v>34</v>
      </c>
      <c r="E23" s="31"/>
      <c r="F23" s="31"/>
      <c r="G23" s="31"/>
      <c r="H23" s="31"/>
      <c r="I23" s="26" t="s">
        <v>23</v>
      </c>
      <c r="J23" s="24" t="s">
        <v>90</v>
      </c>
      <c r="K23" s="31"/>
      <c r="L23" s="4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</row>
    <row r="24" spans="1:31" s="2" customFormat="1" ht="18" hidden="1" customHeight="1">
      <c r="A24" s="31"/>
      <c r="B24" s="32"/>
      <c r="C24" s="31"/>
      <c r="D24" s="31"/>
      <c r="E24" s="24" t="s">
        <v>91</v>
      </c>
      <c r="F24" s="31"/>
      <c r="G24" s="31"/>
      <c r="H24" s="31"/>
      <c r="I24" s="26" t="s">
        <v>25</v>
      </c>
      <c r="J24" s="24" t="s">
        <v>92</v>
      </c>
      <c r="K24" s="31"/>
      <c r="L24" s="4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</row>
    <row r="25" spans="1:31" s="2" customFormat="1" ht="6.95" hidden="1" customHeight="1">
      <c r="A25" s="31"/>
      <c r="B25" s="32"/>
      <c r="C25" s="31"/>
      <c r="D25" s="31"/>
      <c r="E25" s="31"/>
      <c r="F25" s="31"/>
      <c r="G25" s="31"/>
      <c r="H25" s="31"/>
      <c r="I25" s="31"/>
      <c r="J25" s="31"/>
      <c r="K25" s="31"/>
      <c r="L25" s="4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</row>
    <row r="26" spans="1:31" s="2" customFormat="1" ht="12" hidden="1" customHeight="1">
      <c r="A26" s="31"/>
      <c r="B26" s="32"/>
      <c r="C26" s="31"/>
      <c r="D26" s="26" t="s">
        <v>36</v>
      </c>
      <c r="E26" s="31"/>
      <c r="F26" s="31"/>
      <c r="G26" s="31"/>
      <c r="H26" s="31"/>
      <c r="I26" s="31"/>
      <c r="J26" s="31"/>
      <c r="K26" s="31"/>
      <c r="L26" s="4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</row>
    <row r="27" spans="1:31" s="8" customFormat="1" ht="16.5" hidden="1" customHeight="1">
      <c r="A27" s="89"/>
      <c r="B27" s="90"/>
      <c r="C27" s="89"/>
      <c r="D27" s="89"/>
      <c r="E27" s="195" t="s">
        <v>1</v>
      </c>
      <c r="F27" s="195"/>
      <c r="G27" s="195"/>
      <c r="H27" s="195"/>
      <c r="I27" s="89"/>
      <c r="J27" s="89"/>
      <c r="K27" s="89"/>
      <c r="L27" s="91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</row>
    <row r="28" spans="1:31" s="2" customFormat="1" ht="6.95" hidden="1" customHeight="1">
      <c r="A28" s="31"/>
      <c r="B28" s="32"/>
      <c r="C28" s="31"/>
      <c r="D28" s="31"/>
      <c r="E28" s="31"/>
      <c r="F28" s="31"/>
      <c r="G28" s="31"/>
      <c r="H28" s="31"/>
      <c r="I28" s="31"/>
      <c r="J28" s="31"/>
      <c r="K28" s="31"/>
      <c r="L28" s="4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</row>
    <row r="29" spans="1:31" s="2" customFormat="1" ht="6.95" hidden="1" customHeight="1">
      <c r="A29" s="31"/>
      <c r="B29" s="32"/>
      <c r="C29" s="31"/>
      <c r="D29" s="65"/>
      <c r="E29" s="65"/>
      <c r="F29" s="65"/>
      <c r="G29" s="65"/>
      <c r="H29" s="65"/>
      <c r="I29" s="65"/>
      <c r="J29" s="65"/>
      <c r="K29" s="65"/>
      <c r="L29" s="4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</row>
    <row r="30" spans="1:31" s="2" customFormat="1" ht="25.35" hidden="1" customHeight="1">
      <c r="A30" s="31"/>
      <c r="B30" s="32"/>
      <c r="C30" s="31"/>
      <c r="D30" s="92" t="s">
        <v>37</v>
      </c>
      <c r="E30" s="31"/>
      <c r="F30" s="31"/>
      <c r="G30" s="31"/>
      <c r="H30" s="31"/>
      <c r="I30" s="31"/>
      <c r="J30" s="70">
        <f>ROUND(J126, 2)</f>
        <v>0</v>
      </c>
      <c r="K30" s="31"/>
      <c r="L30" s="4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</row>
    <row r="31" spans="1:31" s="2" customFormat="1" ht="6.95" hidden="1" customHeight="1">
      <c r="A31" s="31"/>
      <c r="B31" s="32"/>
      <c r="C31" s="31"/>
      <c r="D31" s="65"/>
      <c r="E31" s="65"/>
      <c r="F31" s="65"/>
      <c r="G31" s="65"/>
      <c r="H31" s="65"/>
      <c r="I31" s="65"/>
      <c r="J31" s="65"/>
      <c r="K31" s="65"/>
      <c r="L31" s="4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</row>
    <row r="32" spans="1:31" s="2" customFormat="1" ht="14.45" hidden="1" customHeight="1">
      <c r="A32" s="31"/>
      <c r="B32" s="32"/>
      <c r="C32" s="31"/>
      <c r="D32" s="31"/>
      <c r="E32" s="31"/>
      <c r="F32" s="35" t="s">
        <v>39</v>
      </c>
      <c r="G32" s="31"/>
      <c r="H32" s="31"/>
      <c r="I32" s="35" t="s">
        <v>38</v>
      </c>
      <c r="J32" s="35" t="s">
        <v>40</v>
      </c>
      <c r="K32" s="31"/>
      <c r="L32" s="4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</row>
    <row r="33" spans="1:31" s="2" customFormat="1" ht="14.45" hidden="1" customHeight="1">
      <c r="A33" s="31"/>
      <c r="B33" s="32"/>
      <c r="C33" s="31"/>
      <c r="D33" s="93" t="s">
        <v>41</v>
      </c>
      <c r="E33" s="26" t="s">
        <v>42</v>
      </c>
      <c r="F33" s="94">
        <f>ROUND((SUM(BE126:BE236)),  2)</f>
        <v>0</v>
      </c>
      <c r="G33" s="31"/>
      <c r="H33" s="31"/>
      <c r="I33" s="95">
        <v>0.2</v>
      </c>
      <c r="J33" s="94">
        <f>ROUND(((SUM(BE126:BE236))*I33),  2)</f>
        <v>0</v>
      </c>
      <c r="K33" s="31"/>
      <c r="L33" s="4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</row>
    <row r="34" spans="1:31" s="2" customFormat="1" ht="14.45" hidden="1" customHeight="1">
      <c r="A34" s="31"/>
      <c r="B34" s="32"/>
      <c r="C34" s="31"/>
      <c r="D34" s="31"/>
      <c r="E34" s="26" t="s">
        <v>43</v>
      </c>
      <c r="F34" s="94">
        <f>ROUND((SUM(BF126:BF236)),  2)</f>
        <v>0</v>
      </c>
      <c r="G34" s="31"/>
      <c r="H34" s="31"/>
      <c r="I34" s="95">
        <v>0.2</v>
      </c>
      <c r="J34" s="94">
        <f>ROUND(((SUM(BF126:BF236))*I34),  2)</f>
        <v>0</v>
      </c>
      <c r="K34" s="31"/>
      <c r="L34" s="4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</row>
    <row r="35" spans="1:31" s="2" customFormat="1" ht="14.45" hidden="1" customHeight="1">
      <c r="A35" s="31"/>
      <c r="B35" s="32"/>
      <c r="C35" s="31"/>
      <c r="D35" s="31"/>
      <c r="E35" s="26" t="s">
        <v>44</v>
      </c>
      <c r="F35" s="94">
        <f>ROUND((SUM(BG126:BG236)),  2)</f>
        <v>0</v>
      </c>
      <c r="G35" s="31"/>
      <c r="H35" s="31"/>
      <c r="I35" s="95">
        <v>0.2</v>
      </c>
      <c r="J35" s="94">
        <f>0</f>
        <v>0</v>
      </c>
      <c r="K35" s="31"/>
      <c r="L35" s="4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</row>
    <row r="36" spans="1:31" s="2" customFormat="1" ht="14.45" hidden="1" customHeight="1">
      <c r="A36" s="31"/>
      <c r="B36" s="32"/>
      <c r="C36" s="31"/>
      <c r="D36" s="31"/>
      <c r="E36" s="26" t="s">
        <v>45</v>
      </c>
      <c r="F36" s="94">
        <f>ROUND((SUM(BH126:BH236)),  2)</f>
        <v>0</v>
      </c>
      <c r="G36" s="31"/>
      <c r="H36" s="31"/>
      <c r="I36" s="95">
        <v>0.2</v>
      </c>
      <c r="J36" s="94">
        <f>0</f>
        <v>0</v>
      </c>
      <c r="K36" s="31"/>
      <c r="L36" s="4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</row>
    <row r="37" spans="1:31" s="2" customFormat="1" ht="14.45" hidden="1" customHeight="1">
      <c r="A37" s="31"/>
      <c r="B37" s="32"/>
      <c r="C37" s="31"/>
      <c r="D37" s="31"/>
      <c r="E37" s="26" t="s">
        <v>46</v>
      </c>
      <c r="F37" s="94">
        <f>ROUND((SUM(BI126:BI236)),  2)</f>
        <v>0</v>
      </c>
      <c r="G37" s="31"/>
      <c r="H37" s="31"/>
      <c r="I37" s="95">
        <v>0</v>
      </c>
      <c r="J37" s="94">
        <f>0</f>
        <v>0</v>
      </c>
      <c r="K37" s="31"/>
      <c r="L37" s="4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</row>
    <row r="38" spans="1:31" s="2" customFormat="1" ht="6.95" hidden="1" customHeight="1">
      <c r="A38" s="31"/>
      <c r="B38" s="32"/>
      <c r="C38" s="31"/>
      <c r="D38" s="31"/>
      <c r="E38" s="31"/>
      <c r="F38" s="31"/>
      <c r="G38" s="31"/>
      <c r="H38" s="31"/>
      <c r="I38" s="31"/>
      <c r="J38" s="31"/>
      <c r="K38" s="31"/>
      <c r="L38" s="4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</row>
    <row r="39" spans="1:31" s="2" customFormat="1" ht="25.35" hidden="1" customHeight="1">
      <c r="A39" s="31"/>
      <c r="B39" s="32"/>
      <c r="C39" s="96"/>
      <c r="D39" s="97" t="s">
        <v>47</v>
      </c>
      <c r="E39" s="59"/>
      <c r="F39" s="59"/>
      <c r="G39" s="98" t="s">
        <v>48</v>
      </c>
      <c r="H39" s="99" t="s">
        <v>49</v>
      </c>
      <c r="I39" s="59"/>
      <c r="J39" s="100">
        <f>SUM(J30:J37)</f>
        <v>0</v>
      </c>
      <c r="K39" s="101"/>
      <c r="L39" s="4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</row>
    <row r="40" spans="1:31" s="2" customFormat="1" ht="14.45" hidden="1" customHeight="1">
      <c r="A40" s="31"/>
      <c r="B40" s="32"/>
      <c r="C40" s="31"/>
      <c r="D40" s="31"/>
      <c r="E40" s="31"/>
      <c r="F40" s="31"/>
      <c r="G40" s="31"/>
      <c r="H40" s="31"/>
      <c r="I40" s="31"/>
      <c r="J40" s="31"/>
      <c r="K40" s="31"/>
      <c r="L40" s="4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</row>
    <row r="41" spans="1:31" s="1" customFormat="1" ht="14.45" hidden="1" customHeight="1">
      <c r="B41" s="19"/>
      <c r="L41" s="19"/>
    </row>
    <row r="42" spans="1:31" s="1" customFormat="1" ht="14.45" hidden="1" customHeight="1">
      <c r="B42" s="19"/>
      <c r="L42" s="19"/>
    </row>
    <row r="43" spans="1:31" s="1" customFormat="1" ht="14.45" hidden="1" customHeight="1">
      <c r="B43" s="19"/>
      <c r="L43" s="19"/>
    </row>
    <row r="44" spans="1:31" s="1" customFormat="1" ht="14.45" hidden="1" customHeight="1">
      <c r="B44" s="19"/>
      <c r="L44" s="19"/>
    </row>
    <row r="45" spans="1:31" s="1" customFormat="1" ht="14.45" hidden="1" customHeight="1">
      <c r="B45" s="19"/>
      <c r="L45" s="19"/>
    </row>
    <row r="46" spans="1:31" s="1" customFormat="1" ht="14.45" hidden="1" customHeight="1">
      <c r="B46" s="19"/>
      <c r="L46" s="19"/>
    </row>
    <row r="47" spans="1:31" s="1" customFormat="1" ht="14.45" hidden="1" customHeight="1">
      <c r="B47" s="19"/>
      <c r="L47" s="19"/>
    </row>
    <row r="48" spans="1:31" s="1" customFormat="1" ht="14.45" hidden="1" customHeight="1">
      <c r="B48" s="19"/>
      <c r="L48" s="19"/>
    </row>
    <row r="49" spans="1:31" s="1" customFormat="1" ht="14.45" hidden="1" customHeight="1">
      <c r="B49" s="19"/>
      <c r="L49" s="19"/>
    </row>
    <row r="50" spans="1:31" s="2" customFormat="1" ht="14.45" hidden="1" customHeight="1">
      <c r="B50" s="41"/>
      <c r="D50" s="42" t="s">
        <v>50</v>
      </c>
      <c r="E50" s="43"/>
      <c r="F50" s="43"/>
      <c r="G50" s="42" t="s">
        <v>51</v>
      </c>
      <c r="H50" s="43"/>
      <c r="I50" s="43"/>
      <c r="J50" s="43"/>
      <c r="K50" s="43"/>
      <c r="L50" s="41"/>
    </row>
    <row r="51" spans="1:31" hidden="1">
      <c r="B51" s="19"/>
      <c r="L51" s="19"/>
    </row>
    <row r="52" spans="1:31" hidden="1">
      <c r="B52" s="19"/>
      <c r="L52" s="19"/>
    </row>
    <row r="53" spans="1:31" hidden="1">
      <c r="B53" s="19"/>
      <c r="L53" s="19"/>
    </row>
    <row r="54" spans="1:31" hidden="1">
      <c r="B54" s="19"/>
      <c r="L54" s="19"/>
    </row>
    <row r="55" spans="1:31" hidden="1">
      <c r="B55" s="19"/>
      <c r="L55" s="19"/>
    </row>
    <row r="56" spans="1:31" hidden="1">
      <c r="B56" s="19"/>
      <c r="L56" s="19"/>
    </row>
    <row r="57" spans="1:31" hidden="1">
      <c r="B57" s="19"/>
      <c r="L57" s="19"/>
    </row>
    <row r="58" spans="1:31" hidden="1">
      <c r="B58" s="19"/>
      <c r="L58" s="19"/>
    </row>
    <row r="59" spans="1:31" hidden="1">
      <c r="B59" s="19"/>
      <c r="L59" s="19"/>
    </row>
    <row r="60" spans="1:31" hidden="1">
      <c r="B60" s="19"/>
      <c r="L60" s="19"/>
    </row>
    <row r="61" spans="1:31" s="2" customFormat="1" ht="12.75" hidden="1">
      <c r="A61" s="31"/>
      <c r="B61" s="32"/>
      <c r="C61" s="31"/>
      <c r="D61" s="44" t="s">
        <v>52</v>
      </c>
      <c r="E61" s="34"/>
      <c r="F61" s="102" t="s">
        <v>53</v>
      </c>
      <c r="G61" s="44" t="s">
        <v>52</v>
      </c>
      <c r="H61" s="34"/>
      <c r="I61" s="34"/>
      <c r="J61" s="103" t="s">
        <v>53</v>
      </c>
      <c r="K61" s="34"/>
      <c r="L61" s="4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</row>
    <row r="62" spans="1:31" hidden="1">
      <c r="B62" s="19"/>
      <c r="L62" s="19"/>
    </row>
    <row r="63" spans="1:31" hidden="1">
      <c r="B63" s="19"/>
      <c r="L63" s="19"/>
    </row>
    <row r="64" spans="1:31" hidden="1">
      <c r="B64" s="19"/>
      <c r="L64" s="19"/>
    </row>
    <row r="65" spans="1:31" s="2" customFormat="1" ht="12.75" hidden="1">
      <c r="A65" s="31"/>
      <c r="B65" s="32"/>
      <c r="C65" s="31"/>
      <c r="D65" s="42" t="s">
        <v>54</v>
      </c>
      <c r="E65" s="45"/>
      <c r="F65" s="45"/>
      <c r="G65" s="42" t="s">
        <v>55</v>
      </c>
      <c r="H65" s="45"/>
      <c r="I65" s="45"/>
      <c r="J65" s="45"/>
      <c r="K65" s="45"/>
      <c r="L65" s="4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</row>
    <row r="66" spans="1:31" hidden="1">
      <c r="B66" s="19"/>
      <c r="L66" s="19"/>
    </row>
    <row r="67" spans="1:31" hidden="1">
      <c r="B67" s="19"/>
      <c r="L67" s="19"/>
    </row>
    <row r="68" spans="1:31" hidden="1">
      <c r="B68" s="19"/>
      <c r="L68" s="19"/>
    </row>
    <row r="69" spans="1:31" hidden="1">
      <c r="B69" s="19"/>
      <c r="L69" s="19"/>
    </row>
    <row r="70" spans="1:31" hidden="1">
      <c r="B70" s="19"/>
      <c r="L70" s="19"/>
    </row>
    <row r="71" spans="1:31" hidden="1">
      <c r="B71" s="19"/>
      <c r="L71" s="19"/>
    </row>
    <row r="72" spans="1:31" hidden="1">
      <c r="B72" s="19"/>
      <c r="L72" s="19"/>
    </row>
    <row r="73" spans="1:31" hidden="1">
      <c r="B73" s="19"/>
      <c r="L73" s="19"/>
    </row>
    <row r="74" spans="1:31" hidden="1">
      <c r="B74" s="19"/>
      <c r="L74" s="19"/>
    </row>
    <row r="75" spans="1:31" hidden="1">
      <c r="B75" s="19"/>
      <c r="L75" s="19"/>
    </row>
    <row r="76" spans="1:31" s="2" customFormat="1" ht="12.75" hidden="1">
      <c r="A76" s="31"/>
      <c r="B76" s="32"/>
      <c r="C76" s="31"/>
      <c r="D76" s="44" t="s">
        <v>52</v>
      </c>
      <c r="E76" s="34"/>
      <c r="F76" s="102" t="s">
        <v>53</v>
      </c>
      <c r="G76" s="44" t="s">
        <v>52</v>
      </c>
      <c r="H76" s="34"/>
      <c r="I76" s="34"/>
      <c r="J76" s="103" t="s">
        <v>53</v>
      </c>
      <c r="K76" s="34"/>
      <c r="L76" s="4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</row>
    <row r="77" spans="1:31" s="2" customFormat="1" ht="14.45" hidden="1" customHeight="1">
      <c r="A77" s="31"/>
      <c r="B77" s="46"/>
      <c r="C77" s="47"/>
      <c r="D77" s="47"/>
      <c r="E77" s="47"/>
      <c r="F77" s="47"/>
      <c r="G77" s="47"/>
      <c r="H77" s="47"/>
      <c r="I77" s="47"/>
      <c r="J77" s="47"/>
      <c r="K77" s="47"/>
      <c r="L77" s="4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</row>
    <row r="78" spans="1:31" hidden="1"/>
    <row r="79" spans="1:31" hidden="1"/>
    <row r="80" spans="1:31" hidden="1"/>
    <row r="81" spans="1:47" s="2" customFormat="1" ht="6.95" hidden="1" customHeight="1">
      <c r="A81" s="31"/>
      <c r="B81" s="48"/>
      <c r="C81" s="49"/>
      <c r="D81" s="49"/>
      <c r="E81" s="49"/>
      <c r="F81" s="49"/>
      <c r="G81" s="49"/>
      <c r="H81" s="49"/>
      <c r="I81" s="49"/>
      <c r="J81" s="49"/>
      <c r="K81" s="49"/>
      <c r="L81" s="4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</row>
    <row r="82" spans="1:47" s="2" customFormat="1" ht="24.95" hidden="1" customHeight="1">
      <c r="A82" s="31"/>
      <c r="B82" s="32"/>
      <c r="C82" s="20" t="s">
        <v>93</v>
      </c>
      <c r="D82" s="31"/>
      <c r="E82" s="31"/>
      <c r="F82" s="31"/>
      <c r="G82" s="31"/>
      <c r="H82" s="31"/>
      <c r="I82" s="31"/>
      <c r="J82" s="31"/>
      <c r="K82" s="31"/>
      <c r="L82" s="4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</row>
    <row r="83" spans="1:47" s="2" customFormat="1" ht="6.95" hidden="1" customHeight="1">
      <c r="A83" s="31"/>
      <c r="B83" s="32"/>
      <c r="C83" s="31"/>
      <c r="D83" s="31"/>
      <c r="E83" s="31"/>
      <c r="F83" s="31"/>
      <c r="G83" s="31"/>
      <c r="H83" s="31"/>
      <c r="I83" s="31"/>
      <c r="J83" s="31"/>
      <c r="K83" s="31"/>
      <c r="L83" s="4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</row>
    <row r="84" spans="1:47" s="2" customFormat="1" ht="12" hidden="1" customHeight="1">
      <c r="A84" s="31"/>
      <c r="B84" s="32"/>
      <c r="C84" s="26" t="s">
        <v>14</v>
      </c>
      <c r="D84" s="31"/>
      <c r="E84" s="31"/>
      <c r="F84" s="31"/>
      <c r="G84" s="31"/>
      <c r="H84" s="31"/>
      <c r="I84" s="31"/>
      <c r="J84" s="31"/>
      <c r="K84" s="31"/>
      <c r="L84" s="4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</row>
    <row r="85" spans="1:47" s="2" customFormat="1" ht="16.5" hidden="1" customHeight="1">
      <c r="A85" s="31"/>
      <c r="B85" s="32"/>
      <c r="C85" s="31"/>
      <c r="D85" s="31"/>
      <c r="E85" s="224" t="str">
        <f>E7</f>
        <v>Most na MK v Ochodnici</v>
      </c>
      <c r="F85" s="225"/>
      <c r="G85" s="225"/>
      <c r="H85" s="225"/>
      <c r="I85" s="31"/>
      <c r="J85" s="31"/>
      <c r="K85" s="31"/>
      <c r="L85" s="4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</row>
    <row r="86" spans="1:47" s="2" customFormat="1" ht="12" hidden="1" customHeight="1">
      <c r="A86" s="31"/>
      <c r="B86" s="32"/>
      <c r="C86" s="26" t="s">
        <v>88</v>
      </c>
      <c r="D86" s="31"/>
      <c r="E86" s="31"/>
      <c r="F86" s="31"/>
      <c r="G86" s="31"/>
      <c r="H86" s="31"/>
      <c r="I86" s="31"/>
      <c r="J86" s="31"/>
      <c r="K86" s="31"/>
      <c r="L86" s="4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</row>
    <row r="87" spans="1:47" s="2" customFormat="1" ht="16.5" hidden="1" customHeight="1">
      <c r="A87" s="31"/>
      <c r="B87" s="32"/>
      <c r="C87" s="31"/>
      <c r="D87" s="31"/>
      <c r="E87" s="210" t="str">
        <f>E9</f>
        <v>SO-1 - Rekonštrukcia mosta v obci Ochodnica pri Černoškovej</v>
      </c>
      <c r="F87" s="223"/>
      <c r="G87" s="223"/>
      <c r="H87" s="223"/>
      <c r="I87" s="31"/>
      <c r="J87" s="31"/>
      <c r="K87" s="31"/>
      <c r="L87" s="4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</row>
    <row r="88" spans="1:47" s="2" customFormat="1" ht="6.95" hidden="1" customHeight="1">
      <c r="A88" s="31"/>
      <c r="B88" s="32"/>
      <c r="C88" s="31"/>
      <c r="D88" s="31"/>
      <c r="E88" s="31"/>
      <c r="F88" s="31"/>
      <c r="G88" s="31"/>
      <c r="H88" s="31"/>
      <c r="I88" s="31"/>
      <c r="J88" s="31"/>
      <c r="K88" s="31"/>
      <c r="L88" s="4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</row>
    <row r="89" spans="1:47" s="2" customFormat="1" ht="12" hidden="1" customHeight="1">
      <c r="A89" s="31"/>
      <c r="B89" s="32"/>
      <c r="C89" s="26" t="s">
        <v>18</v>
      </c>
      <c r="D89" s="31"/>
      <c r="E89" s="31"/>
      <c r="F89" s="24" t="str">
        <f>F12</f>
        <v>Ochodnica</v>
      </c>
      <c r="G89" s="31"/>
      <c r="H89" s="31"/>
      <c r="I89" s="26" t="s">
        <v>20</v>
      </c>
      <c r="J89" s="54" t="str">
        <f>IF(J12="","",J12)</f>
        <v>2. 2. 2021</v>
      </c>
      <c r="K89" s="31"/>
      <c r="L89" s="4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</row>
    <row r="90" spans="1:47" s="2" customFormat="1" ht="6.95" hidden="1" customHeight="1">
      <c r="A90" s="31"/>
      <c r="B90" s="32"/>
      <c r="C90" s="31"/>
      <c r="D90" s="31"/>
      <c r="E90" s="31"/>
      <c r="F90" s="31"/>
      <c r="G90" s="31"/>
      <c r="H90" s="31"/>
      <c r="I90" s="31"/>
      <c r="J90" s="31"/>
      <c r="K90" s="31"/>
      <c r="L90" s="4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</row>
    <row r="91" spans="1:47" s="2" customFormat="1" ht="15.2" hidden="1" customHeight="1">
      <c r="A91" s="31"/>
      <c r="B91" s="32"/>
      <c r="C91" s="26" t="s">
        <v>22</v>
      </c>
      <c r="D91" s="31"/>
      <c r="E91" s="31"/>
      <c r="F91" s="24" t="str">
        <f>E15</f>
        <v>Obec Ochodnica</v>
      </c>
      <c r="G91" s="31"/>
      <c r="H91" s="31"/>
      <c r="I91" s="26" t="s">
        <v>28</v>
      </c>
      <c r="J91" s="29" t="str">
        <f>E21</f>
        <v>TASUM, s.r.o.</v>
      </c>
      <c r="K91" s="31"/>
      <c r="L91" s="4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</row>
    <row r="92" spans="1:47" s="2" customFormat="1" ht="15.2" hidden="1" customHeight="1">
      <c r="A92" s="31"/>
      <c r="B92" s="32"/>
      <c r="C92" s="26" t="s">
        <v>26</v>
      </c>
      <c r="D92" s="31"/>
      <c r="E92" s="31"/>
      <c r="F92" s="24" t="str">
        <f>IF(E18="","",E18)</f>
        <v>Vyplň údaj</v>
      </c>
      <c r="G92" s="31"/>
      <c r="H92" s="31"/>
      <c r="I92" s="26" t="s">
        <v>34</v>
      </c>
      <c r="J92" s="29" t="str">
        <f>E24</f>
        <v>BISin s.r.o.</v>
      </c>
      <c r="K92" s="31"/>
      <c r="L92" s="4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</row>
    <row r="93" spans="1:47" s="2" customFormat="1" ht="10.35" hidden="1" customHeight="1">
      <c r="A93" s="31"/>
      <c r="B93" s="32"/>
      <c r="C93" s="31"/>
      <c r="D93" s="31"/>
      <c r="E93" s="31"/>
      <c r="F93" s="31"/>
      <c r="G93" s="31"/>
      <c r="H93" s="31"/>
      <c r="I93" s="31"/>
      <c r="J93" s="31"/>
      <c r="K93" s="31"/>
      <c r="L93" s="4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</row>
    <row r="94" spans="1:47" s="2" customFormat="1" ht="29.25" hidden="1" customHeight="1">
      <c r="A94" s="31"/>
      <c r="B94" s="32"/>
      <c r="C94" s="104" t="s">
        <v>94</v>
      </c>
      <c r="D94" s="96"/>
      <c r="E94" s="96"/>
      <c r="F94" s="96"/>
      <c r="G94" s="96"/>
      <c r="H94" s="96"/>
      <c r="I94" s="96"/>
      <c r="J94" s="105" t="s">
        <v>95</v>
      </c>
      <c r="K94" s="96"/>
      <c r="L94" s="4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</row>
    <row r="95" spans="1:47" s="2" customFormat="1" ht="10.35" hidden="1" customHeight="1">
      <c r="A95" s="31"/>
      <c r="B95" s="32"/>
      <c r="C95" s="31"/>
      <c r="D95" s="31"/>
      <c r="E95" s="31"/>
      <c r="F95" s="31"/>
      <c r="G95" s="31"/>
      <c r="H95" s="31"/>
      <c r="I95" s="31"/>
      <c r="J95" s="31"/>
      <c r="K95" s="31"/>
      <c r="L95" s="4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</row>
    <row r="96" spans="1:47" s="2" customFormat="1" ht="22.9" hidden="1" customHeight="1">
      <c r="A96" s="31"/>
      <c r="B96" s="32"/>
      <c r="C96" s="106" t="s">
        <v>96</v>
      </c>
      <c r="D96" s="31"/>
      <c r="E96" s="31"/>
      <c r="F96" s="31"/>
      <c r="G96" s="31"/>
      <c r="H96" s="31"/>
      <c r="I96" s="31"/>
      <c r="J96" s="70">
        <f>J126</f>
        <v>0</v>
      </c>
      <c r="K96" s="31"/>
      <c r="L96" s="4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U96" s="16" t="s">
        <v>97</v>
      </c>
    </row>
    <row r="97" spans="1:31" s="9" customFormat="1" ht="24.95" hidden="1" customHeight="1">
      <c r="B97" s="107"/>
      <c r="D97" s="108" t="s">
        <v>98</v>
      </c>
      <c r="E97" s="109"/>
      <c r="F97" s="109"/>
      <c r="G97" s="109"/>
      <c r="H97" s="109"/>
      <c r="I97" s="109"/>
      <c r="J97" s="110">
        <f>J127</f>
        <v>0</v>
      </c>
      <c r="L97" s="107"/>
    </row>
    <row r="98" spans="1:31" s="10" customFormat="1" ht="19.899999999999999" hidden="1" customHeight="1">
      <c r="B98" s="111"/>
      <c r="D98" s="112" t="s">
        <v>99</v>
      </c>
      <c r="E98" s="113"/>
      <c r="F98" s="113"/>
      <c r="G98" s="113"/>
      <c r="H98" s="113"/>
      <c r="I98" s="113"/>
      <c r="J98" s="114">
        <f>J128</f>
        <v>0</v>
      </c>
      <c r="L98" s="111"/>
    </row>
    <row r="99" spans="1:31" s="10" customFormat="1" ht="19.899999999999999" hidden="1" customHeight="1">
      <c r="B99" s="111"/>
      <c r="D99" s="112" t="s">
        <v>100</v>
      </c>
      <c r="E99" s="113"/>
      <c r="F99" s="113"/>
      <c r="G99" s="113"/>
      <c r="H99" s="113"/>
      <c r="I99" s="113"/>
      <c r="J99" s="114">
        <f>J139</f>
        <v>0</v>
      </c>
      <c r="L99" s="111"/>
    </row>
    <row r="100" spans="1:31" s="10" customFormat="1" ht="19.899999999999999" hidden="1" customHeight="1">
      <c r="B100" s="111"/>
      <c r="D100" s="112" t="s">
        <v>101</v>
      </c>
      <c r="E100" s="113"/>
      <c r="F100" s="113"/>
      <c r="G100" s="113"/>
      <c r="H100" s="113"/>
      <c r="I100" s="113"/>
      <c r="J100" s="114">
        <f>J162</f>
        <v>0</v>
      </c>
      <c r="L100" s="111"/>
    </row>
    <row r="101" spans="1:31" s="10" customFormat="1" ht="19.899999999999999" hidden="1" customHeight="1">
      <c r="B101" s="111"/>
      <c r="D101" s="112" t="s">
        <v>102</v>
      </c>
      <c r="E101" s="113"/>
      <c r="F101" s="113"/>
      <c r="G101" s="113"/>
      <c r="H101" s="113"/>
      <c r="I101" s="113"/>
      <c r="J101" s="114">
        <f>J174</f>
        <v>0</v>
      </c>
      <c r="L101" s="111"/>
    </row>
    <row r="102" spans="1:31" s="10" customFormat="1" ht="19.899999999999999" hidden="1" customHeight="1">
      <c r="B102" s="111"/>
      <c r="D102" s="112" t="s">
        <v>103</v>
      </c>
      <c r="E102" s="113"/>
      <c r="F102" s="113"/>
      <c r="G102" s="113"/>
      <c r="H102" s="113"/>
      <c r="I102" s="113"/>
      <c r="J102" s="114">
        <f>J177</f>
        <v>0</v>
      </c>
      <c r="L102" s="111"/>
    </row>
    <row r="103" spans="1:31" s="10" customFormat="1" ht="19.899999999999999" hidden="1" customHeight="1">
      <c r="B103" s="111"/>
      <c r="D103" s="112" t="s">
        <v>104</v>
      </c>
      <c r="E103" s="113"/>
      <c r="F103" s="113"/>
      <c r="G103" s="113"/>
      <c r="H103" s="113"/>
      <c r="I103" s="113"/>
      <c r="J103" s="114">
        <f>J222</f>
        <v>0</v>
      </c>
      <c r="L103" s="111"/>
    </row>
    <row r="104" spans="1:31" s="10" customFormat="1" ht="19.899999999999999" hidden="1" customHeight="1">
      <c r="B104" s="111"/>
      <c r="D104" s="112" t="s">
        <v>105</v>
      </c>
      <c r="E104" s="113"/>
      <c r="F104" s="113"/>
      <c r="G104" s="113"/>
      <c r="H104" s="113"/>
      <c r="I104" s="113"/>
      <c r="J104" s="114">
        <f>J226</f>
        <v>0</v>
      </c>
      <c r="L104" s="111"/>
    </row>
    <row r="105" spans="1:31" s="9" customFormat="1" ht="24.95" hidden="1" customHeight="1">
      <c r="B105" s="107"/>
      <c r="D105" s="108" t="s">
        <v>106</v>
      </c>
      <c r="E105" s="109"/>
      <c r="F105" s="109"/>
      <c r="G105" s="109"/>
      <c r="H105" s="109"/>
      <c r="I105" s="109"/>
      <c r="J105" s="110">
        <f>J231</f>
        <v>0</v>
      </c>
      <c r="L105" s="107"/>
    </row>
    <row r="106" spans="1:31" s="10" customFormat="1" ht="19.899999999999999" hidden="1" customHeight="1">
      <c r="B106" s="111"/>
      <c r="D106" s="112" t="s">
        <v>107</v>
      </c>
      <c r="E106" s="113"/>
      <c r="F106" s="113"/>
      <c r="G106" s="113"/>
      <c r="H106" s="113"/>
      <c r="I106" s="113"/>
      <c r="J106" s="114">
        <f>J232</f>
        <v>0</v>
      </c>
      <c r="L106" s="111"/>
    </row>
    <row r="107" spans="1:31" s="2" customFormat="1" ht="21.75" hidden="1" customHeight="1">
      <c r="A107" s="31"/>
      <c r="B107" s="32"/>
      <c r="C107" s="31"/>
      <c r="D107" s="31"/>
      <c r="E107" s="31"/>
      <c r="F107" s="31"/>
      <c r="G107" s="31"/>
      <c r="H107" s="31"/>
      <c r="I107" s="31"/>
      <c r="J107" s="31"/>
      <c r="K107" s="31"/>
      <c r="L107" s="4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</row>
    <row r="108" spans="1:31" s="2" customFormat="1" ht="6.95" hidden="1" customHeight="1">
      <c r="A108" s="31"/>
      <c r="B108" s="46"/>
      <c r="C108" s="47"/>
      <c r="D108" s="47"/>
      <c r="E108" s="47"/>
      <c r="F108" s="47"/>
      <c r="G108" s="47"/>
      <c r="H108" s="47"/>
      <c r="I108" s="47"/>
      <c r="J108" s="47"/>
      <c r="K108" s="47"/>
      <c r="L108" s="4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</row>
    <row r="109" spans="1:31" hidden="1"/>
    <row r="110" spans="1:31" hidden="1"/>
    <row r="111" spans="1:31" hidden="1"/>
    <row r="112" spans="1:31" s="2" customFormat="1" ht="6.95" customHeight="1">
      <c r="A112" s="31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</row>
    <row r="113" spans="1:63" s="2" customFormat="1" ht="24.95" customHeight="1">
      <c r="A113" s="31"/>
      <c r="B113" s="32"/>
      <c r="C113" s="20" t="s">
        <v>372</v>
      </c>
      <c r="D113" s="31"/>
      <c r="E113" s="31"/>
      <c r="F113" s="31"/>
      <c r="G113" s="31"/>
      <c r="H113" s="31"/>
      <c r="I113" s="31"/>
      <c r="J113" s="31"/>
      <c r="K113" s="31"/>
      <c r="L113" s="4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</row>
    <row r="114" spans="1:63" s="2" customFormat="1" ht="6.95" customHeight="1">
      <c r="A114" s="31"/>
      <c r="B114" s="32"/>
      <c r="C114" s="31"/>
      <c r="D114" s="31"/>
      <c r="E114" s="31"/>
      <c r="F114" s="31"/>
      <c r="G114" s="31"/>
      <c r="H114" s="31"/>
      <c r="I114" s="31"/>
      <c r="J114" s="31"/>
      <c r="K114" s="31"/>
      <c r="L114" s="4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</row>
    <row r="115" spans="1:63" s="2" customFormat="1" ht="12" customHeight="1">
      <c r="A115" s="31"/>
      <c r="B115" s="32"/>
      <c r="C115" s="26" t="s">
        <v>14</v>
      </c>
      <c r="D115" s="31"/>
      <c r="E115" s="31"/>
      <c r="F115" s="31"/>
      <c r="G115" s="31"/>
      <c r="H115" s="31"/>
      <c r="I115" s="31"/>
      <c r="J115" s="31"/>
      <c r="K115" s="31"/>
      <c r="L115" s="4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</row>
    <row r="116" spans="1:63" s="2" customFormat="1" ht="16.5" customHeight="1">
      <c r="A116" s="31"/>
      <c r="B116" s="32"/>
      <c r="C116" s="31"/>
      <c r="D116" s="31"/>
      <c r="E116" s="224" t="str">
        <f>E7</f>
        <v>Most na MK v Ochodnici</v>
      </c>
      <c r="F116" s="225"/>
      <c r="G116" s="225"/>
      <c r="H116" s="225"/>
      <c r="I116" s="31"/>
      <c r="J116" s="31"/>
      <c r="K116" s="31"/>
      <c r="L116" s="4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</row>
    <row r="117" spans="1:63" s="2" customFormat="1" ht="12" customHeight="1">
      <c r="A117" s="31"/>
      <c r="B117" s="32"/>
      <c r="C117" s="26" t="s">
        <v>88</v>
      </c>
      <c r="D117" s="31"/>
      <c r="E117" s="31"/>
      <c r="F117" s="31"/>
      <c r="G117" s="31"/>
      <c r="H117" s="31"/>
      <c r="I117" s="31"/>
      <c r="J117" s="31"/>
      <c r="K117" s="31"/>
      <c r="L117" s="4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</row>
    <row r="118" spans="1:63" s="2" customFormat="1" ht="16.5" customHeight="1">
      <c r="A118" s="31"/>
      <c r="B118" s="32"/>
      <c r="C118" s="31"/>
      <c r="D118" s="31"/>
      <c r="E118" s="210" t="str">
        <f>E9</f>
        <v>SO-1 - Rekonštrukcia mosta v obci Ochodnica pri Černoškovej</v>
      </c>
      <c r="F118" s="223"/>
      <c r="G118" s="223"/>
      <c r="H118" s="223"/>
      <c r="I118" s="31"/>
      <c r="J118" s="31"/>
      <c r="K118" s="31"/>
      <c r="L118" s="4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</row>
    <row r="119" spans="1:63" s="2" customFormat="1" ht="6.95" customHeight="1">
      <c r="A119" s="31"/>
      <c r="B119" s="32"/>
      <c r="C119" s="31"/>
      <c r="D119" s="31"/>
      <c r="E119" s="31"/>
      <c r="F119" s="31"/>
      <c r="G119" s="31"/>
      <c r="H119" s="31"/>
      <c r="I119" s="31"/>
      <c r="J119" s="31"/>
      <c r="K119" s="31"/>
      <c r="L119" s="4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</row>
    <row r="120" spans="1:63" s="2" customFormat="1" ht="12" customHeight="1">
      <c r="A120" s="31"/>
      <c r="B120" s="32"/>
      <c r="C120" s="26" t="s">
        <v>18</v>
      </c>
      <c r="D120" s="31"/>
      <c r="E120" s="31"/>
      <c r="F120" s="24" t="str">
        <f>F12</f>
        <v>Ochodnica</v>
      </c>
      <c r="G120" s="31"/>
      <c r="H120" s="31"/>
      <c r="I120" s="26" t="s">
        <v>20</v>
      </c>
      <c r="J120" s="54"/>
      <c r="K120" s="31"/>
      <c r="L120" s="4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</row>
    <row r="121" spans="1:63" s="2" customFormat="1" ht="6.95" customHeight="1">
      <c r="A121" s="31"/>
      <c r="B121" s="32"/>
      <c r="C121" s="31"/>
      <c r="D121" s="31"/>
      <c r="E121" s="31"/>
      <c r="F121" s="31"/>
      <c r="G121" s="31"/>
      <c r="H121" s="31"/>
      <c r="I121" s="31"/>
      <c r="J121" s="31"/>
      <c r="K121" s="31"/>
      <c r="L121" s="4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</row>
    <row r="122" spans="1:63" s="2" customFormat="1" ht="15.2" customHeight="1">
      <c r="A122" s="31"/>
      <c r="B122" s="32"/>
      <c r="C122" s="26" t="s">
        <v>22</v>
      </c>
      <c r="D122" s="31"/>
      <c r="E122" s="31"/>
      <c r="F122" s="24" t="str">
        <f>E15</f>
        <v>Obec Ochodnica</v>
      </c>
      <c r="G122" s="31"/>
      <c r="H122" s="31"/>
      <c r="I122" s="26" t="s">
        <v>28</v>
      </c>
      <c r="J122" s="29"/>
      <c r="K122" s="31"/>
      <c r="L122" s="4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</row>
    <row r="123" spans="1:63" s="2" customFormat="1" ht="15.2" customHeight="1">
      <c r="A123" s="31"/>
      <c r="B123" s="32"/>
      <c r="C123" s="26" t="s">
        <v>26</v>
      </c>
      <c r="D123" s="31"/>
      <c r="E123" s="31"/>
      <c r="F123" s="24"/>
      <c r="G123" s="31"/>
      <c r="H123" s="31"/>
      <c r="I123" s="26" t="s">
        <v>34</v>
      </c>
      <c r="J123" s="29"/>
      <c r="K123" s="31"/>
      <c r="L123" s="4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</row>
    <row r="124" spans="1:63" s="2" customFormat="1" ht="10.35" customHeight="1">
      <c r="A124" s="31"/>
      <c r="B124" s="32"/>
      <c r="C124" s="31"/>
      <c r="D124" s="31"/>
      <c r="E124" s="31"/>
      <c r="F124" s="31"/>
      <c r="G124" s="31"/>
      <c r="H124" s="31"/>
      <c r="I124" s="31"/>
      <c r="J124" s="31"/>
      <c r="K124" s="31"/>
      <c r="L124" s="4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</row>
    <row r="125" spans="1:63" s="11" customFormat="1" ht="29.25" customHeight="1">
      <c r="A125" s="115"/>
      <c r="B125" s="116"/>
      <c r="C125" s="117" t="s">
        <v>108</v>
      </c>
      <c r="D125" s="118" t="s">
        <v>62</v>
      </c>
      <c r="E125" s="118" t="s">
        <v>58</v>
      </c>
      <c r="F125" s="118" t="s">
        <v>59</v>
      </c>
      <c r="G125" s="118" t="s">
        <v>109</v>
      </c>
      <c r="H125" s="118" t="s">
        <v>110</v>
      </c>
      <c r="I125" s="118" t="s">
        <v>111</v>
      </c>
      <c r="J125" s="119" t="s">
        <v>95</v>
      </c>
      <c r="K125" s="120" t="s">
        <v>112</v>
      </c>
      <c r="L125" s="121"/>
      <c r="M125" s="61" t="s">
        <v>1</v>
      </c>
      <c r="N125" s="62" t="s">
        <v>41</v>
      </c>
      <c r="O125" s="62" t="s">
        <v>113</v>
      </c>
      <c r="P125" s="62" t="s">
        <v>114</v>
      </c>
      <c r="Q125" s="62" t="s">
        <v>115</v>
      </c>
      <c r="R125" s="62" t="s">
        <v>116</v>
      </c>
      <c r="S125" s="62" t="s">
        <v>117</v>
      </c>
      <c r="T125" s="63" t="s">
        <v>118</v>
      </c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15"/>
    </row>
    <row r="126" spans="1:63" s="2" customFormat="1" ht="22.9" customHeight="1">
      <c r="A126" s="31"/>
      <c r="B126" s="32"/>
      <c r="C126" s="68" t="s">
        <v>96</v>
      </c>
      <c r="D126" s="31"/>
      <c r="E126" s="31"/>
      <c r="F126" s="31"/>
      <c r="G126" s="31"/>
      <c r="H126" s="31"/>
      <c r="I126" s="31"/>
      <c r="J126" s="122">
        <f>BK126</f>
        <v>0</v>
      </c>
      <c r="K126" s="31"/>
      <c r="L126" s="32"/>
      <c r="M126" s="64"/>
      <c r="N126" s="55"/>
      <c r="O126" s="65"/>
      <c r="P126" s="123">
        <f>P127+P231</f>
        <v>0</v>
      </c>
      <c r="Q126" s="65"/>
      <c r="R126" s="123">
        <f>R127+R231</f>
        <v>1.0461024999999999</v>
      </c>
      <c r="S126" s="65"/>
      <c r="T126" s="124">
        <f>T127+T231</f>
        <v>4.2695999999999996</v>
      </c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T126" s="16" t="s">
        <v>76</v>
      </c>
      <c r="AU126" s="16" t="s">
        <v>97</v>
      </c>
      <c r="BK126" s="125">
        <f>BK127+BK231</f>
        <v>0</v>
      </c>
    </row>
    <row r="127" spans="1:63" s="12" customFormat="1" ht="25.9" customHeight="1">
      <c r="B127" s="126"/>
      <c r="D127" s="127" t="s">
        <v>76</v>
      </c>
      <c r="E127" s="128" t="s">
        <v>119</v>
      </c>
      <c r="F127" s="128" t="s">
        <v>120</v>
      </c>
      <c r="I127" s="129"/>
      <c r="J127" s="130">
        <f>BK127</f>
        <v>0</v>
      </c>
      <c r="L127" s="126"/>
      <c r="M127" s="131"/>
      <c r="N127" s="132"/>
      <c r="O127" s="132"/>
      <c r="P127" s="133">
        <f>P128+P139+P162+P174+P177+P222+P226</f>
        <v>0</v>
      </c>
      <c r="Q127" s="132"/>
      <c r="R127" s="133">
        <f>R128+R139+R162+R174+R177+R222+R226</f>
        <v>1.0461024999999999</v>
      </c>
      <c r="S127" s="132"/>
      <c r="T127" s="134">
        <f>T128+T139+T162+T174+T177+T222+T226</f>
        <v>4.2695999999999996</v>
      </c>
      <c r="AR127" s="127" t="s">
        <v>85</v>
      </c>
      <c r="AT127" s="135" t="s">
        <v>76</v>
      </c>
      <c r="AU127" s="135" t="s">
        <v>77</v>
      </c>
      <c r="AY127" s="127" t="s">
        <v>121</v>
      </c>
      <c r="BK127" s="136">
        <f>BK128+BK139+BK162+BK174+BK177+BK222+BK226</f>
        <v>0</v>
      </c>
    </row>
    <row r="128" spans="1:63" s="12" customFormat="1" ht="22.9" customHeight="1">
      <c r="B128" s="126"/>
      <c r="D128" s="127" t="s">
        <v>76</v>
      </c>
      <c r="E128" s="137" t="s">
        <v>85</v>
      </c>
      <c r="F128" s="137" t="s">
        <v>122</v>
      </c>
      <c r="I128" s="129"/>
      <c r="J128" s="138">
        <f>BK128</f>
        <v>0</v>
      </c>
      <c r="L128" s="126"/>
      <c r="M128" s="131"/>
      <c r="N128" s="132"/>
      <c r="O128" s="132"/>
      <c r="P128" s="133">
        <f>SUM(P129:P138)</f>
        <v>0</v>
      </c>
      <c r="Q128" s="132"/>
      <c r="R128" s="133">
        <f>SUM(R129:R138)</f>
        <v>0</v>
      </c>
      <c r="S128" s="132"/>
      <c r="T128" s="134">
        <f>SUM(T129:T138)</f>
        <v>0</v>
      </c>
      <c r="AR128" s="127" t="s">
        <v>85</v>
      </c>
      <c r="AT128" s="135" t="s">
        <v>76</v>
      </c>
      <c r="AU128" s="135" t="s">
        <v>85</v>
      </c>
      <c r="AY128" s="127" t="s">
        <v>121</v>
      </c>
      <c r="BK128" s="136">
        <f>SUM(BK129:BK138)</f>
        <v>0</v>
      </c>
    </row>
    <row r="129" spans="1:65" s="2" customFormat="1" ht="24.2" customHeight="1">
      <c r="A129" s="31"/>
      <c r="B129" s="139"/>
      <c r="C129" s="140" t="s">
        <v>85</v>
      </c>
      <c r="D129" s="140" t="s">
        <v>123</v>
      </c>
      <c r="E129" s="141" t="s">
        <v>124</v>
      </c>
      <c r="F129" s="142" t="s">
        <v>125</v>
      </c>
      <c r="G129" s="143" t="s">
        <v>126</v>
      </c>
      <c r="H129" s="144">
        <v>30</v>
      </c>
      <c r="I129" s="144"/>
      <c r="J129" s="145">
        <f>ROUND(I129*H129,3)</f>
        <v>0</v>
      </c>
      <c r="K129" s="146"/>
      <c r="L129" s="32"/>
      <c r="M129" s="147" t="s">
        <v>1</v>
      </c>
      <c r="N129" s="148" t="s">
        <v>43</v>
      </c>
      <c r="O129" s="57"/>
      <c r="P129" s="149">
        <f>O129*H129</f>
        <v>0</v>
      </c>
      <c r="Q129" s="149">
        <v>0</v>
      </c>
      <c r="R129" s="149">
        <f>Q129*H129</f>
        <v>0</v>
      </c>
      <c r="S129" s="149">
        <v>0</v>
      </c>
      <c r="T129" s="150">
        <f>S129*H129</f>
        <v>0</v>
      </c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R129" s="151" t="s">
        <v>127</v>
      </c>
      <c r="AT129" s="151" t="s">
        <v>123</v>
      </c>
      <c r="AU129" s="151" t="s">
        <v>128</v>
      </c>
      <c r="AY129" s="16" t="s">
        <v>121</v>
      </c>
      <c r="BE129" s="152">
        <f>IF(N129="základná",J129,0)</f>
        <v>0</v>
      </c>
      <c r="BF129" s="152">
        <f>IF(N129="znížená",J129,0)</f>
        <v>0</v>
      </c>
      <c r="BG129" s="152">
        <f>IF(N129="zákl. prenesená",J129,0)</f>
        <v>0</v>
      </c>
      <c r="BH129" s="152">
        <f>IF(N129="zníž. prenesená",J129,0)</f>
        <v>0</v>
      </c>
      <c r="BI129" s="152">
        <f>IF(N129="nulová",J129,0)</f>
        <v>0</v>
      </c>
      <c r="BJ129" s="16" t="s">
        <v>128</v>
      </c>
      <c r="BK129" s="153">
        <f>ROUND(I129*H129,3)</f>
        <v>0</v>
      </c>
      <c r="BL129" s="16" t="s">
        <v>127</v>
      </c>
      <c r="BM129" s="151" t="s">
        <v>128</v>
      </c>
    </row>
    <row r="130" spans="1:65" s="2" customFormat="1" ht="24.2" customHeight="1">
      <c r="A130" s="31"/>
      <c r="B130" s="139"/>
      <c r="C130" s="140" t="s">
        <v>128</v>
      </c>
      <c r="D130" s="140" t="s">
        <v>123</v>
      </c>
      <c r="E130" s="141" t="s">
        <v>129</v>
      </c>
      <c r="F130" s="142" t="s">
        <v>130</v>
      </c>
      <c r="G130" s="143" t="s">
        <v>131</v>
      </c>
      <c r="H130" s="144">
        <v>50</v>
      </c>
      <c r="I130" s="144"/>
      <c r="J130" s="145">
        <f>ROUND(I130*H130,3)</f>
        <v>0</v>
      </c>
      <c r="K130" s="146"/>
      <c r="L130" s="32"/>
      <c r="M130" s="147" t="s">
        <v>1</v>
      </c>
      <c r="N130" s="148" t="s">
        <v>43</v>
      </c>
      <c r="O130" s="57"/>
      <c r="P130" s="149">
        <f>O130*H130</f>
        <v>0</v>
      </c>
      <c r="Q130" s="149">
        <v>0</v>
      </c>
      <c r="R130" s="149">
        <f>Q130*H130</f>
        <v>0</v>
      </c>
      <c r="S130" s="149">
        <v>0</v>
      </c>
      <c r="T130" s="150">
        <f>S130*H130</f>
        <v>0</v>
      </c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R130" s="151" t="s">
        <v>127</v>
      </c>
      <c r="AT130" s="151" t="s">
        <v>123</v>
      </c>
      <c r="AU130" s="151" t="s">
        <v>128</v>
      </c>
      <c r="AY130" s="16" t="s">
        <v>121</v>
      </c>
      <c r="BE130" s="152">
        <f>IF(N130="základná",J130,0)</f>
        <v>0</v>
      </c>
      <c r="BF130" s="152">
        <f>IF(N130="znížená",J130,0)</f>
        <v>0</v>
      </c>
      <c r="BG130" s="152">
        <f>IF(N130="zákl. prenesená",J130,0)</f>
        <v>0</v>
      </c>
      <c r="BH130" s="152">
        <f>IF(N130="zníž. prenesená",J130,0)</f>
        <v>0</v>
      </c>
      <c r="BI130" s="152">
        <f>IF(N130="nulová",J130,0)</f>
        <v>0</v>
      </c>
      <c r="BJ130" s="16" t="s">
        <v>128</v>
      </c>
      <c r="BK130" s="153">
        <f>ROUND(I130*H130,3)</f>
        <v>0</v>
      </c>
      <c r="BL130" s="16" t="s">
        <v>127</v>
      </c>
      <c r="BM130" s="151" t="s">
        <v>132</v>
      </c>
    </row>
    <row r="131" spans="1:65" s="2" customFormat="1" ht="24.2" customHeight="1">
      <c r="A131" s="31"/>
      <c r="B131" s="139"/>
      <c r="C131" s="140" t="s">
        <v>133</v>
      </c>
      <c r="D131" s="140" t="s">
        <v>123</v>
      </c>
      <c r="E131" s="141" t="s">
        <v>134</v>
      </c>
      <c r="F131" s="142" t="s">
        <v>135</v>
      </c>
      <c r="G131" s="143" t="s">
        <v>136</v>
      </c>
      <c r="H131" s="144">
        <v>7.7549999999999999</v>
      </c>
      <c r="I131" s="144"/>
      <c r="J131" s="145">
        <f>ROUND(I131*H131,3)</f>
        <v>0</v>
      </c>
      <c r="K131" s="146"/>
      <c r="L131" s="32"/>
      <c r="M131" s="147" t="s">
        <v>1</v>
      </c>
      <c r="N131" s="148" t="s">
        <v>43</v>
      </c>
      <c r="O131" s="57"/>
      <c r="P131" s="149">
        <f>O131*H131</f>
        <v>0</v>
      </c>
      <c r="Q131" s="149">
        <v>0</v>
      </c>
      <c r="R131" s="149">
        <f>Q131*H131</f>
        <v>0</v>
      </c>
      <c r="S131" s="149">
        <v>0</v>
      </c>
      <c r="T131" s="150">
        <f>S131*H131</f>
        <v>0</v>
      </c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R131" s="151" t="s">
        <v>127</v>
      </c>
      <c r="AT131" s="151" t="s">
        <v>123</v>
      </c>
      <c r="AU131" s="151" t="s">
        <v>128</v>
      </c>
      <c r="AY131" s="16" t="s">
        <v>121</v>
      </c>
      <c r="BE131" s="152">
        <f>IF(N131="základná",J131,0)</f>
        <v>0</v>
      </c>
      <c r="BF131" s="152">
        <f>IF(N131="znížená",J131,0)</f>
        <v>0</v>
      </c>
      <c r="BG131" s="152">
        <f>IF(N131="zákl. prenesená",J131,0)</f>
        <v>0</v>
      </c>
      <c r="BH131" s="152">
        <f>IF(N131="zníž. prenesená",J131,0)</f>
        <v>0</v>
      </c>
      <c r="BI131" s="152">
        <f>IF(N131="nulová",J131,0)</f>
        <v>0</v>
      </c>
      <c r="BJ131" s="16" t="s">
        <v>128</v>
      </c>
      <c r="BK131" s="153">
        <f>ROUND(I131*H131,3)</f>
        <v>0</v>
      </c>
      <c r="BL131" s="16" t="s">
        <v>127</v>
      </c>
      <c r="BM131" s="151" t="s">
        <v>137</v>
      </c>
    </row>
    <row r="132" spans="1:65" s="13" customFormat="1">
      <c r="B132" s="154"/>
      <c r="D132" s="155" t="s">
        <v>138</v>
      </c>
      <c r="E132" s="156" t="s">
        <v>1</v>
      </c>
      <c r="F132" s="157" t="s">
        <v>139</v>
      </c>
      <c r="H132" s="158">
        <v>1.88</v>
      </c>
      <c r="I132" s="159"/>
      <c r="L132" s="154"/>
      <c r="M132" s="160"/>
      <c r="N132" s="161"/>
      <c r="O132" s="161"/>
      <c r="P132" s="161"/>
      <c r="Q132" s="161"/>
      <c r="R132" s="161"/>
      <c r="S132" s="161"/>
      <c r="T132" s="162"/>
      <c r="AT132" s="156" t="s">
        <v>138</v>
      </c>
      <c r="AU132" s="156" t="s">
        <v>128</v>
      </c>
      <c r="AV132" s="13" t="s">
        <v>128</v>
      </c>
      <c r="AW132" s="13" t="s">
        <v>32</v>
      </c>
      <c r="AX132" s="13" t="s">
        <v>77</v>
      </c>
      <c r="AY132" s="156" t="s">
        <v>121</v>
      </c>
    </row>
    <row r="133" spans="1:65" s="13" customFormat="1">
      <c r="B133" s="154"/>
      <c r="D133" s="155" t="s">
        <v>138</v>
      </c>
      <c r="E133" s="156" t="s">
        <v>1</v>
      </c>
      <c r="F133" s="157" t="s">
        <v>140</v>
      </c>
      <c r="H133" s="158">
        <v>5.875</v>
      </c>
      <c r="I133" s="159"/>
      <c r="L133" s="154"/>
      <c r="M133" s="160"/>
      <c r="N133" s="161"/>
      <c r="O133" s="161"/>
      <c r="P133" s="161"/>
      <c r="Q133" s="161"/>
      <c r="R133" s="161"/>
      <c r="S133" s="161"/>
      <c r="T133" s="162"/>
      <c r="AT133" s="156" t="s">
        <v>138</v>
      </c>
      <c r="AU133" s="156" t="s">
        <v>128</v>
      </c>
      <c r="AV133" s="13" t="s">
        <v>128</v>
      </c>
      <c r="AW133" s="13" t="s">
        <v>32</v>
      </c>
      <c r="AX133" s="13" t="s">
        <v>77</v>
      </c>
      <c r="AY133" s="156" t="s">
        <v>121</v>
      </c>
    </row>
    <row r="134" spans="1:65" s="14" customFormat="1">
      <c r="B134" s="163"/>
      <c r="D134" s="155" t="s">
        <v>138</v>
      </c>
      <c r="E134" s="164" t="s">
        <v>1</v>
      </c>
      <c r="F134" s="165" t="s">
        <v>141</v>
      </c>
      <c r="H134" s="166">
        <v>7.7549999999999999</v>
      </c>
      <c r="I134" s="167"/>
      <c r="L134" s="163"/>
      <c r="M134" s="168"/>
      <c r="N134" s="169"/>
      <c r="O134" s="169"/>
      <c r="P134" s="169"/>
      <c r="Q134" s="169"/>
      <c r="R134" s="169"/>
      <c r="S134" s="169"/>
      <c r="T134" s="170"/>
      <c r="AT134" s="164" t="s">
        <v>138</v>
      </c>
      <c r="AU134" s="164" t="s">
        <v>128</v>
      </c>
      <c r="AV134" s="14" t="s">
        <v>127</v>
      </c>
      <c r="AW134" s="14" t="s">
        <v>32</v>
      </c>
      <c r="AX134" s="14" t="s">
        <v>85</v>
      </c>
      <c r="AY134" s="164" t="s">
        <v>121</v>
      </c>
    </row>
    <row r="135" spans="1:65" s="2" customFormat="1" ht="14.45" customHeight="1">
      <c r="A135" s="31"/>
      <c r="B135" s="139"/>
      <c r="C135" s="140" t="s">
        <v>127</v>
      </c>
      <c r="D135" s="140" t="s">
        <v>123</v>
      </c>
      <c r="E135" s="141" t="s">
        <v>142</v>
      </c>
      <c r="F135" s="142" t="s">
        <v>143</v>
      </c>
      <c r="G135" s="143" t="s">
        <v>136</v>
      </c>
      <c r="H135" s="144">
        <v>7.7549999999999999</v>
      </c>
      <c r="I135" s="144"/>
      <c r="J135" s="145">
        <f>ROUND(I135*H135,3)</f>
        <v>0</v>
      </c>
      <c r="K135" s="146"/>
      <c r="L135" s="32"/>
      <c r="M135" s="147" t="s">
        <v>1</v>
      </c>
      <c r="N135" s="148" t="s">
        <v>43</v>
      </c>
      <c r="O135" s="57"/>
      <c r="P135" s="149">
        <f>O135*H135</f>
        <v>0</v>
      </c>
      <c r="Q135" s="149">
        <v>0</v>
      </c>
      <c r="R135" s="149">
        <f>Q135*H135</f>
        <v>0</v>
      </c>
      <c r="S135" s="149">
        <v>0</v>
      </c>
      <c r="T135" s="150">
        <f>S135*H135</f>
        <v>0</v>
      </c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R135" s="151" t="s">
        <v>127</v>
      </c>
      <c r="AT135" s="151" t="s">
        <v>123</v>
      </c>
      <c r="AU135" s="151" t="s">
        <v>128</v>
      </c>
      <c r="AY135" s="16" t="s">
        <v>121</v>
      </c>
      <c r="BE135" s="152">
        <f>IF(N135="základná",J135,0)</f>
        <v>0</v>
      </c>
      <c r="BF135" s="152">
        <f>IF(N135="znížená",J135,0)</f>
        <v>0</v>
      </c>
      <c r="BG135" s="152">
        <f>IF(N135="zákl. prenesená",J135,0)</f>
        <v>0</v>
      </c>
      <c r="BH135" s="152">
        <f>IF(N135="zníž. prenesená",J135,0)</f>
        <v>0</v>
      </c>
      <c r="BI135" s="152">
        <f>IF(N135="nulová",J135,0)</f>
        <v>0</v>
      </c>
      <c r="BJ135" s="16" t="s">
        <v>128</v>
      </c>
      <c r="BK135" s="153">
        <f>ROUND(I135*H135,3)</f>
        <v>0</v>
      </c>
      <c r="BL135" s="16" t="s">
        <v>127</v>
      </c>
      <c r="BM135" s="151" t="s">
        <v>144</v>
      </c>
    </row>
    <row r="136" spans="1:65" s="2" customFormat="1" ht="24.2" customHeight="1">
      <c r="A136" s="31"/>
      <c r="B136" s="139"/>
      <c r="C136" s="140" t="s">
        <v>145</v>
      </c>
      <c r="D136" s="140" t="s">
        <v>123</v>
      </c>
      <c r="E136" s="141" t="s">
        <v>146</v>
      </c>
      <c r="F136" s="142" t="s">
        <v>147</v>
      </c>
      <c r="G136" s="143" t="s">
        <v>148</v>
      </c>
      <c r="H136" s="144">
        <v>10</v>
      </c>
      <c r="I136" s="144"/>
      <c r="J136" s="145">
        <f>ROUND(I136*H136,3)</f>
        <v>0</v>
      </c>
      <c r="K136" s="146"/>
      <c r="L136" s="32"/>
      <c r="M136" s="147" t="s">
        <v>1</v>
      </c>
      <c r="N136" s="148" t="s">
        <v>43</v>
      </c>
      <c r="O136" s="57"/>
      <c r="P136" s="149">
        <f>O136*H136</f>
        <v>0</v>
      </c>
      <c r="Q136" s="149">
        <v>0</v>
      </c>
      <c r="R136" s="149">
        <f>Q136*H136</f>
        <v>0</v>
      </c>
      <c r="S136" s="149">
        <v>0</v>
      </c>
      <c r="T136" s="150">
        <f>S136*H136</f>
        <v>0</v>
      </c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R136" s="151" t="s">
        <v>127</v>
      </c>
      <c r="AT136" s="151" t="s">
        <v>123</v>
      </c>
      <c r="AU136" s="151" t="s">
        <v>128</v>
      </c>
      <c r="AY136" s="16" t="s">
        <v>121</v>
      </c>
      <c r="BE136" s="152">
        <f>IF(N136="základná",J136,0)</f>
        <v>0</v>
      </c>
      <c r="BF136" s="152">
        <f>IF(N136="znížená",J136,0)</f>
        <v>0</v>
      </c>
      <c r="BG136" s="152">
        <f>IF(N136="zákl. prenesená",J136,0)</f>
        <v>0</v>
      </c>
      <c r="BH136" s="152">
        <f>IF(N136="zníž. prenesená",J136,0)</f>
        <v>0</v>
      </c>
      <c r="BI136" s="152">
        <f>IF(N136="nulová",J136,0)</f>
        <v>0</v>
      </c>
      <c r="BJ136" s="16" t="s">
        <v>128</v>
      </c>
      <c r="BK136" s="153">
        <f>ROUND(I136*H136,3)</f>
        <v>0</v>
      </c>
      <c r="BL136" s="16" t="s">
        <v>127</v>
      </c>
      <c r="BM136" s="151" t="s">
        <v>149</v>
      </c>
    </row>
    <row r="137" spans="1:65" s="2" customFormat="1" ht="24.2" customHeight="1">
      <c r="A137" s="31"/>
      <c r="B137" s="139"/>
      <c r="C137" s="140" t="s">
        <v>150</v>
      </c>
      <c r="D137" s="140" t="s">
        <v>123</v>
      </c>
      <c r="E137" s="141" t="s">
        <v>151</v>
      </c>
      <c r="F137" s="142" t="s">
        <v>152</v>
      </c>
      <c r="G137" s="143" t="s">
        <v>136</v>
      </c>
      <c r="H137" s="144">
        <v>7.7549999999999999</v>
      </c>
      <c r="I137" s="144"/>
      <c r="J137" s="145">
        <f>ROUND(I137*H137,3)</f>
        <v>0</v>
      </c>
      <c r="K137" s="146"/>
      <c r="L137" s="32"/>
      <c r="M137" s="147" t="s">
        <v>1</v>
      </c>
      <c r="N137" s="148" t="s">
        <v>43</v>
      </c>
      <c r="O137" s="57"/>
      <c r="P137" s="149">
        <f>O137*H137</f>
        <v>0</v>
      </c>
      <c r="Q137" s="149">
        <v>0</v>
      </c>
      <c r="R137" s="149">
        <f>Q137*H137</f>
        <v>0</v>
      </c>
      <c r="S137" s="149">
        <v>0</v>
      </c>
      <c r="T137" s="150">
        <f>S137*H137</f>
        <v>0</v>
      </c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R137" s="151" t="s">
        <v>127</v>
      </c>
      <c r="AT137" s="151" t="s">
        <v>123</v>
      </c>
      <c r="AU137" s="151" t="s">
        <v>128</v>
      </c>
      <c r="AY137" s="16" t="s">
        <v>121</v>
      </c>
      <c r="BE137" s="152">
        <f>IF(N137="základná",J137,0)</f>
        <v>0</v>
      </c>
      <c r="BF137" s="152">
        <f>IF(N137="znížená",J137,0)</f>
        <v>0</v>
      </c>
      <c r="BG137" s="152">
        <f>IF(N137="zákl. prenesená",J137,0)</f>
        <v>0</v>
      </c>
      <c r="BH137" s="152">
        <f>IF(N137="zníž. prenesená",J137,0)</f>
        <v>0</v>
      </c>
      <c r="BI137" s="152">
        <f>IF(N137="nulová",J137,0)</f>
        <v>0</v>
      </c>
      <c r="BJ137" s="16" t="s">
        <v>128</v>
      </c>
      <c r="BK137" s="153">
        <f>ROUND(I137*H137,3)</f>
        <v>0</v>
      </c>
      <c r="BL137" s="16" t="s">
        <v>127</v>
      </c>
      <c r="BM137" s="151" t="s">
        <v>153</v>
      </c>
    </row>
    <row r="138" spans="1:65" s="2" customFormat="1" ht="24.2" customHeight="1">
      <c r="A138" s="31"/>
      <c r="B138" s="139"/>
      <c r="C138" s="140" t="s">
        <v>154</v>
      </c>
      <c r="D138" s="140" t="s">
        <v>123</v>
      </c>
      <c r="E138" s="141" t="s">
        <v>155</v>
      </c>
      <c r="F138" s="142" t="s">
        <v>156</v>
      </c>
      <c r="G138" s="143" t="s">
        <v>136</v>
      </c>
      <c r="H138" s="144">
        <v>7.7549999999999999</v>
      </c>
      <c r="I138" s="144"/>
      <c r="J138" s="145">
        <f>ROUND(I138*H138,3)</f>
        <v>0</v>
      </c>
      <c r="K138" s="146"/>
      <c r="L138" s="32"/>
      <c r="M138" s="147" t="s">
        <v>1</v>
      </c>
      <c r="N138" s="148" t="s">
        <v>43</v>
      </c>
      <c r="O138" s="57"/>
      <c r="P138" s="149">
        <f>O138*H138</f>
        <v>0</v>
      </c>
      <c r="Q138" s="149">
        <v>0</v>
      </c>
      <c r="R138" s="149">
        <f>Q138*H138</f>
        <v>0</v>
      </c>
      <c r="S138" s="149">
        <v>0</v>
      </c>
      <c r="T138" s="150">
        <f>S138*H138</f>
        <v>0</v>
      </c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R138" s="151" t="s">
        <v>127</v>
      </c>
      <c r="AT138" s="151" t="s">
        <v>123</v>
      </c>
      <c r="AU138" s="151" t="s">
        <v>128</v>
      </c>
      <c r="AY138" s="16" t="s">
        <v>121</v>
      </c>
      <c r="BE138" s="152">
        <f>IF(N138="základná",J138,0)</f>
        <v>0</v>
      </c>
      <c r="BF138" s="152">
        <f>IF(N138="znížená",J138,0)</f>
        <v>0</v>
      </c>
      <c r="BG138" s="152">
        <f>IF(N138="zákl. prenesená",J138,0)</f>
        <v>0</v>
      </c>
      <c r="BH138" s="152">
        <f>IF(N138="zníž. prenesená",J138,0)</f>
        <v>0</v>
      </c>
      <c r="BI138" s="152">
        <f>IF(N138="nulová",J138,0)</f>
        <v>0</v>
      </c>
      <c r="BJ138" s="16" t="s">
        <v>128</v>
      </c>
      <c r="BK138" s="153">
        <f>ROUND(I138*H138,3)</f>
        <v>0</v>
      </c>
      <c r="BL138" s="16" t="s">
        <v>127</v>
      </c>
      <c r="BM138" s="151" t="s">
        <v>7</v>
      </c>
    </row>
    <row r="139" spans="1:65" s="12" customFormat="1" ht="22.9" customHeight="1">
      <c r="B139" s="126"/>
      <c r="D139" s="127" t="s">
        <v>76</v>
      </c>
      <c r="E139" s="137" t="s">
        <v>128</v>
      </c>
      <c r="F139" s="137" t="s">
        <v>157</v>
      </c>
      <c r="I139" s="129"/>
      <c r="J139" s="138">
        <f>BK139</f>
        <v>0</v>
      </c>
      <c r="L139" s="126"/>
      <c r="M139" s="131"/>
      <c r="N139" s="132"/>
      <c r="O139" s="132"/>
      <c r="P139" s="133">
        <f>SUM(P140:P161)</f>
        <v>0</v>
      </c>
      <c r="Q139" s="132"/>
      <c r="R139" s="133">
        <f>SUM(R140:R161)</f>
        <v>0.126055</v>
      </c>
      <c r="S139" s="132"/>
      <c r="T139" s="134">
        <f>SUM(T140:T161)</f>
        <v>0</v>
      </c>
      <c r="AR139" s="127" t="s">
        <v>85</v>
      </c>
      <c r="AT139" s="135" t="s">
        <v>76</v>
      </c>
      <c r="AU139" s="135" t="s">
        <v>85</v>
      </c>
      <c r="AY139" s="127" t="s">
        <v>121</v>
      </c>
      <c r="BK139" s="136">
        <f>SUM(BK140:BK161)</f>
        <v>0</v>
      </c>
    </row>
    <row r="140" spans="1:65" s="2" customFormat="1" ht="24.2" customHeight="1">
      <c r="A140" s="31"/>
      <c r="B140" s="139"/>
      <c r="C140" s="140" t="s">
        <v>132</v>
      </c>
      <c r="D140" s="140" t="s">
        <v>123</v>
      </c>
      <c r="E140" s="141" t="s">
        <v>158</v>
      </c>
      <c r="F140" s="142" t="s">
        <v>159</v>
      </c>
      <c r="G140" s="143" t="s">
        <v>126</v>
      </c>
      <c r="H140" s="144">
        <v>45.23</v>
      </c>
      <c r="I140" s="144"/>
      <c r="J140" s="145">
        <f>ROUND(I140*H140,3)</f>
        <v>0</v>
      </c>
      <c r="K140" s="146"/>
      <c r="L140" s="32"/>
      <c r="M140" s="147" t="s">
        <v>1</v>
      </c>
      <c r="N140" s="148" t="s">
        <v>43</v>
      </c>
      <c r="O140" s="57"/>
      <c r="P140" s="149">
        <f>O140*H140</f>
        <v>0</v>
      </c>
      <c r="Q140" s="149">
        <v>0</v>
      </c>
      <c r="R140" s="149">
        <f>Q140*H140</f>
        <v>0</v>
      </c>
      <c r="S140" s="149">
        <v>0</v>
      </c>
      <c r="T140" s="150">
        <f>S140*H140</f>
        <v>0</v>
      </c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R140" s="151" t="s">
        <v>127</v>
      </c>
      <c r="AT140" s="151" t="s">
        <v>123</v>
      </c>
      <c r="AU140" s="151" t="s">
        <v>128</v>
      </c>
      <c r="AY140" s="16" t="s">
        <v>121</v>
      </c>
      <c r="BE140" s="152">
        <f>IF(N140="základná",J140,0)</f>
        <v>0</v>
      </c>
      <c r="BF140" s="152">
        <f>IF(N140="znížená",J140,0)</f>
        <v>0</v>
      </c>
      <c r="BG140" s="152">
        <f>IF(N140="zákl. prenesená",J140,0)</f>
        <v>0</v>
      </c>
      <c r="BH140" s="152">
        <f>IF(N140="zníž. prenesená",J140,0)</f>
        <v>0</v>
      </c>
      <c r="BI140" s="152">
        <f>IF(N140="nulová",J140,0)</f>
        <v>0</v>
      </c>
      <c r="BJ140" s="16" t="s">
        <v>128</v>
      </c>
      <c r="BK140" s="153">
        <f>ROUND(I140*H140,3)</f>
        <v>0</v>
      </c>
      <c r="BL140" s="16" t="s">
        <v>127</v>
      </c>
      <c r="BM140" s="151" t="s">
        <v>160</v>
      </c>
    </row>
    <row r="141" spans="1:65" s="13" customFormat="1">
      <c r="B141" s="154"/>
      <c r="D141" s="155" t="s">
        <v>138</v>
      </c>
      <c r="E141" s="156" t="s">
        <v>1</v>
      </c>
      <c r="F141" s="157" t="s">
        <v>161</v>
      </c>
      <c r="H141" s="158">
        <v>15.75</v>
      </c>
      <c r="I141" s="159"/>
      <c r="L141" s="154"/>
      <c r="M141" s="160"/>
      <c r="N141" s="161"/>
      <c r="O141" s="161"/>
      <c r="P141" s="161"/>
      <c r="Q141" s="161"/>
      <c r="R141" s="161"/>
      <c r="S141" s="161"/>
      <c r="T141" s="162"/>
      <c r="AT141" s="156" t="s">
        <v>138</v>
      </c>
      <c r="AU141" s="156" t="s">
        <v>128</v>
      </c>
      <c r="AV141" s="13" t="s">
        <v>128</v>
      </c>
      <c r="AW141" s="13" t="s">
        <v>32</v>
      </c>
      <c r="AX141" s="13" t="s">
        <v>77</v>
      </c>
      <c r="AY141" s="156" t="s">
        <v>121</v>
      </c>
    </row>
    <row r="142" spans="1:65" s="13" customFormat="1">
      <c r="B142" s="154"/>
      <c r="D142" s="155" t="s">
        <v>138</v>
      </c>
      <c r="E142" s="156" t="s">
        <v>1</v>
      </c>
      <c r="F142" s="157" t="s">
        <v>162</v>
      </c>
      <c r="H142" s="158">
        <v>5.28</v>
      </c>
      <c r="I142" s="159"/>
      <c r="L142" s="154"/>
      <c r="M142" s="160"/>
      <c r="N142" s="161"/>
      <c r="O142" s="161"/>
      <c r="P142" s="161"/>
      <c r="Q142" s="161"/>
      <c r="R142" s="161"/>
      <c r="S142" s="161"/>
      <c r="T142" s="162"/>
      <c r="AT142" s="156" t="s">
        <v>138</v>
      </c>
      <c r="AU142" s="156" t="s">
        <v>128</v>
      </c>
      <c r="AV142" s="13" t="s">
        <v>128</v>
      </c>
      <c r="AW142" s="13" t="s">
        <v>32</v>
      </c>
      <c r="AX142" s="13" t="s">
        <v>77</v>
      </c>
      <c r="AY142" s="156" t="s">
        <v>121</v>
      </c>
    </row>
    <row r="143" spans="1:65" s="13" customFormat="1">
      <c r="B143" s="154"/>
      <c r="D143" s="155" t="s">
        <v>138</v>
      </c>
      <c r="E143" s="156" t="s">
        <v>1</v>
      </c>
      <c r="F143" s="157" t="s">
        <v>163</v>
      </c>
      <c r="H143" s="158">
        <v>4.4000000000000004</v>
      </c>
      <c r="I143" s="159"/>
      <c r="L143" s="154"/>
      <c r="M143" s="160"/>
      <c r="N143" s="161"/>
      <c r="O143" s="161"/>
      <c r="P143" s="161"/>
      <c r="Q143" s="161"/>
      <c r="R143" s="161"/>
      <c r="S143" s="161"/>
      <c r="T143" s="162"/>
      <c r="AT143" s="156" t="s">
        <v>138</v>
      </c>
      <c r="AU143" s="156" t="s">
        <v>128</v>
      </c>
      <c r="AV143" s="13" t="s">
        <v>128</v>
      </c>
      <c r="AW143" s="13" t="s">
        <v>32</v>
      </c>
      <c r="AX143" s="13" t="s">
        <v>77</v>
      </c>
      <c r="AY143" s="156" t="s">
        <v>121</v>
      </c>
    </row>
    <row r="144" spans="1:65" s="13" customFormat="1">
      <c r="B144" s="154"/>
      <c r="D144" s="155" t="s">
        <v>138</v>
      </c>
      <c r="E144" s="156" t="s">
        <v>1</v>
      </c>
      <c r="F144" s="157" t="s">
        <v>164</v>
      </c>
      <c r="H144" s="158">
        <v>19.8</v>
      </c>
      <c r="I144" s="159"/>
      <c r="L144" s="154"/>
      <c r="M144" s="160"/>
      <c r="N144" s="161"/>
      <c r="O144" s="161"/>
      <c r="P144" s="161"/>
      <c r="Q144" s="161"/>
      <c r="R144" s="161"/>
      <c r="S144" s="161"/>
      <c r="T144" s="162"/>
      <c r="AT144" s="156" t="s">
        <v>138</v>
      </c>
      <c r="AU144" s="156" t="s">
        <v>128</v>
      </c>
      <c r="AV144" s="13" t="s">
        <v>128</v>
      </c>
      <c r="AW144" s="13" t="s">
        <v>32</v>
      </c>
      <c r="AX144" s="13" t="s">
        <v>77</v>
      </c>
      <c r="AY144" s="156" t="s">
        <v>121</v>
      </c>
    </row>
    <row r="145" spans="1:65" s="14" customFormat="1">
      <c r="B145" s="163"/>
      <c r="D145" s="155" t="s">
        <v>138</v>
      </c>
      <c r="E145" s="164" t="s">
        <v>1</v>
      </c>
      <c r="F145" s="165" t="s">
        <v>141</v>
      </c>
      <c r="H145" s="166">
        <v>45.23</v>
      </c>
      <c r="I145" s="167"/>
      <c r="L145" s="163"/>
      <c r="M145" s="168"/>
      <c r="N145" s="169"/>
      <c r="O145" s="169"/>
      <c r="P145" s="169"/>
      <c r="Q145" s="169"/>
      <c r="R145" s="169"/>
      <c r="S145" s="169"/>
      <c r="T145" s="170"/>
      <c r="AT145" s="164" t="s">
        <v>138</v>
      </c>
      <c r="AU145" s="164" t="s">
        <v>128</v>
      </c>
      <c r="AV145" s="14" t="s">
        <v>127</v>
      </c>
      <c r="AW145" s="14" t="s">
        <v>32</v>
      </c>
      <c r="AX145" s="14" t="s">
        <v>85</v>
      </c>
      <c r="AY145" s="164" t="s">
        <v>121</v>
      </c>
    </row>
    <row r="146" spans="1:65" s="2" customFormat="1" ht="24.2" customHeight="1">
      <c r="A146" s="31"/>
      <c r="B146" s="139"/>
      <c r="C146" s="140" t="s">
        <v>165</v>
      </c>
      <c r="D146" s="140" t="s">
        <v>123</v>
      </c>
      <c r="E146" s="141" t="s">
        <v>166</v>
      </c>
      <c r="F146" s="142" t="s">
        <v>167</v>
      </c>
      <c r="G146" s="143" t="s">
        <v>126</v>
      </c>
      <c r="H146" s="144">
        <v>22.614999999999998</v>
      </c>
      <c r="I146" s="144"/>
      <c r="J146" s="145">
        <f>ROUND(I146*H146,3)</f>
        <v>0</v>
      </c>
      <c r="K146" s="146"/>
      <c r="L146" s="32"/>
      <c r="M146" s="147" t="s">
        <v>1</v>
      </c>
      <c r="N146" s="148" t="s">
        <v>43</v>
      </c>
      <c r="O146" s="57"/>
      <c r="P146" s="149">
        <f>O146*H146</f>
        <v>0</v>
      </c>
      <c r="Q146" s="149">
        <v>0</v>
      </c>
      <c r="R146" s="149">
        <f>Q146*H146</f>
        <v>0</v>
      </c>
      <c r="S146" s="149">
        <v>0</v>
      </c>
      <c r="T146" s="150">
        <f>S146*H146</f>
        <v>0</v>
      </c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R146" s="151" t="s">
        <v>127</v>
      </c>
      <c r="AT146" s="151" t="s">
        <v>123</v>
      </c>
      <c r="AU146" s="151" t="s">
        <v>128</v>
      </c>
      <c r="AY146" s="16" t="s">
        <v>121</v>
      </c>
      <c r="BE146" s="152">
        <f>IF(N146="základná",J146,0)</f>
        <v>0</v>
      </c>
      <c r="BF146" s="152">
        <f>IF(N146="znížená",J146,0)</f>
        <v>0</v>
      </c>
      <c r="BG146" s="152">
        <f>IF(N146="zákl. prenesená",J146,0)</f>
        <v>0</v>
      </c>
      <c r="BH146" s="152">
        <f>IF(N146="zníž. prenesená",J146,0)</f>
        <v>0</v>
      </c>
      <c r="BI146" s="152">
        <f>IF(N146="nulová",J146,0)</f>
        <v>0</v>
      </c>
      <c r="BJ146" s="16" t="s">
        <v>128</v>
      </c>
      <c r="BK146" s="153">
        <f>ROUND(I146*H146,3)</f>
        <v>0</v>
      </c>
      <c r="BL146" s="16" t="s">
        <v>127</v>
      </c>
      <c r="BM146" s="151" t="s">
        <v>168</v>
      </c>
    </row>
    <row r="147" spans="1:65" s="13" customFormat="1">
      <c r="B147" s="154"/>
      <c r="D147" s="155" t="s">
        <v>138</v>
      </c>
      <c r="E147" s="156" t="s">
        <v>1</v>
      </c>
      <c r="F147" s="157" t="s">
        <v>169</v>
      </c>
      <c r="H147" s="158">
        <v>22.614999999999998</v>
      </c>
      <c r="I147" s="159"/>
      <c r="L147" s="154"/>
      <c r="M147" s="160"/>
      <c r="N147" s="161"/>
      <c r="O147" s="161"/>
      <c r="P147" s="161"/>
      <c r="Q147" s="161"/>
      <c r="R147" s="161"/>
      <c r="S147" s="161"/>
      <c r="T147" s="162"/>
      <c r="AT147" s="156" t="s">
        <v>138</v>
      </c>
      <c r="AU147" s="156" t="s">
        <v>128</v>
      </c>
      <c r="AV147" s="13" t="s">
        <v>128</v>
      </c>
      <c r="AW147" s="13" t="s">
        <v>32</v>
      </c>
      <c r="AX147" s="13" t="s">
        <v>85</v>
      </c>
      <c r="AY147" s="156" t="s">
        <v>121</v>
      </c>
    </row>
    <row r="148" spans="1:65" s="2" customFormat="1" ht="24.2" customHeight="1">
      <c r="A148" s="31"/>
      <c r="B148" s="139"/>
      <c r="C148" s="140" t="s">
        <v>149</v>
      </c>
      <c r="D148" s="140" t="s">
        <v>123</v>
      </c>
      <c r="E148" s="141" t="s">
        <v>170</v>
      </c>
      <c r="F148" s="142" t="s">
        <v>171</v>
      </c>
      <c r="G148" s="143" t="s">
        <v>172</v>
      </c>
      <c r="H148" s="144">
        <v>42.2</v>
      </c>
      <c r="I148" s="144"/>
      <c r="J148" s="145">
        <f>ROUND(I148*H148,3)</f>
        <v>0</v>
      </c>
      <c r="K148" s="146"/>
      <c r="L148" s="32"/>
      <c r="M148" s="147" t="s">
        <v>1</v>
      </c>
      <c r="N148" s="148" t="s">
        <v>43</v>
      </c>
      <c r="O148" s="57"/>
      <c r="P148" s="149">
        <f>O148*H148</f>
        <v>0</v>
      </c>
      <c r="Q148" s="149">
        <v>0</v>
      </c>
      <c r="R148" s="149">
        <f>Q148*H148</f>
        <v>0</v>
      </c>
      <c r="S148" s="149">
        <v>0</v>
      </c>
      <c r="T148" s="150">
        <f>S148*H148</f>
        <v>0</v>
      </c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R148" s="151" t="s">
        <v>127</v>
      </c>
      <c r="AT148" s="151" t="s">
        <v>123</v>
      </c>
      <c r="AU148" s="151" t="s">
        <v>128</v>
      </c>
      <c r="AY148" s="16" t="s">
        <v>121</v>
      </c>
      <c r="BE148" s="152">
        <f>IF(N148="základná",J148,0)</f>
        <v>0</v>
      </c>
      <c r="BF148" s="152">
        <f>IF(N148="znížená",J148,0)</f>
        <v>0</v>
      </c>
      <c r="BG148" s="152">
        <f>IF(N148="zákl. prenesená",J148,0)</f>
        <v>0</v>
      </c>
      <c r="BH148" s="152">
        <f>IF(N148="zníž. prenesená",J148,0)</f>
        <v>0</v>
      </c>
      <c r="BI148" s="152">
        <f>IF(N148="nulová",J148,0)</f>
        <v>0</v>
      </c>
      <c r="BJ148" s="16" t="s">
        <v>128</v>
      </c>
      <c r="BK148" s="153">
        <f>ROUND(I148*H148,3)</f>
        <v>0</v>
      </c>
      <c r="BL148" s="16" t="s">
        <v>127</v>
      </c>
      <c r="BM148" s="151" t="s">
        <v>173</v>
      </c>
    </row>
    <row r="149" spans="1:65" s="13" customFormat="1">
      <c r="B149" s="154"/>
      <c r="D149" s="155" t="s">
        <v>138</v>
      </c>
      <c r="E149" s="156" t="s">
        <v>1</v>
      </c>
      <c r="F149" s="157" t="s">
        <v>174</v>
      </c>
      <c r="H149" s="158">
        <v>4.2</v>
      </c>
      <c r="I149" s="159"/>
      <c r="L149" s="154"/>
      <c r="M149" s="160"/>
      <c r="N149" s="161"/>
      <c r="O149" s="161"/>
      <c r="P149" s="161"/>
      <c r="Q149" s="161"/>
      <c r="R149" s="161"/>
      <c r="S149" s="161"/>
      <c r="T149" s="162"/>
      <c r="AT149" s="156" t="s">
        <v>138</v>
      </c>
      <c r="AU149" s="156" t="s">
        <v>128</v>
      </c>
      <c r="AV149" s="13" t="s">
        <v>128</v>
      </c>
      <c r="AW149" s="13" t="s">
        <v>32</v>
      </c>
      <c r="AX149" s="13" t="s">
        <v>77</v>
      </c>
      <c r="AY149" s="156" t="s">
        <v>121</v>
      </c>
    </row>
    <row r="150" spans="1:65" s="13" customFormat="1">
      <c r="B150" s="154"/>
      <c r="D150" s="155" t="s">
        <v>138</v>
      </c>
      <c r="E150" s="156" t="s">
        <v>1</v>
      </c>
      <c r="F150" s="157" t="s">
        <v>175</v>
      </c>
      <c r="H150" s="158">
        <v>22</v>
      </c>
      <c r="I150" s="159"/>
      <c r="L150" s="154"/>
      <c r="M150" s="160"/>
      <c r="N150" s="161"/>
      <c r="O150" s="161"/>
      <c r="P150" s="161"/>
      <c r="Q150" s="161"/>
      <c r="R150" s="161"/>
      <c r="S150" s="161"/>
      <c r="T150" s="162"/>
      <c r="AT150" s="156" t="s">
        <v>138</v>
      </c>
      <c r="AU150" s="156" t="s">
        <v>128</v>
      </c>
      <c r="AV150" s="13" t="s">
        <v>128</v>
      </c>
      <c r="AW150" s="13" t="s">
        <v>32</v>
      </c>
      <c r="AX150" s="13" t="s">
        <v>77</v>
      </c>
      <c r="AY150" s="156" t="s">
        <v>121</v>
      </c>
    </row>
    <row r="151" spans="1:65" s="13" customFormat="1">
      <c r="B151" s="154"/>
      <c r="D151" s="155" t="s">
        <v>138</v>
      </c>
      <c r="E151" s="156" t="s">
        <v>1</v>
      </c>
      <c r="F151" s="157" t="s">
        <v>176</v>
      </c>
      <c r="H151" s="158">
        <v>16</v>
      </c>
      <c r="I151" s="159"/>
      <c r="L151" s="154"/>
      <c r="M151" s="160"/>
      <c r="N151" s="161"/>
      <c r="O151" s="161"/>
      <c r="P151" s="161"/>
      <c r="Q151" s="161"/>
      <c r="R151" s="161"/>
      <c r="S151" s="161"/>
      <c r="T151" s="162"/>
      <c r="AT151" s="156" t="s">
        <v>138</v>
      </c>
      <c r="AU151" s="156" t="s">
        <v>128</v>
      </c>
      <c r="AV151" s="13" t="s">
        <v>128</v>
      </c>
      <c r="AW151" s="13" t="s">
        <v>32</v>
      </c>
      <c r="AX151" s="13" t="s">
        <v>77</v>
      </c>
      <c r="AY151" s="156" t="s">
        <v>121</v>
      </c>
    </row>
    <row r="152" spans="1:65" s="14" customFormat="1">
      <c r="B152" s="163"/>
      <c r="D152" s="155" t="s">
        <v>138</v>
      </c>
      <c r="E152" s="164" t="s">
        <v>1</v>
      </c>
      <c r="F152" s="165" t="s">
        <v>141</v>
      </c>
      <c r="H152" s="166">
        <v>42.2</v>
      </c>
      <c r="I152" s="167"/>
      <c r="L152" s="163"/>
      <c r="M152" s="168"/>
      <c r="N152" s="169"/>
      <c r="O152" s="169"/>
      <c r="P152" s="169"/>
      <c r="Q152" s="169"/>
      <c r="R152" s="169"/>
      <c r="S152" s="169"/>
      <c r="T152" s="170"/>
      <c r="AT152" s="164" t="s">
        <v>138</v>
      </c>
      <c r="AU152" s="164" t="s">
        <v>128</v>
      </c>
      <c r="AV152" s="14" t="s">
        <v>127</v>
      </c>
      <c r="AW152" s="14" t="s">
        <v>32</v>
      </c>
      <c r="AX152" s="14" t="s">
        <v>85</v>
      </c>
      <c r="AY152" s="164" t="s">
        <v>121</v>
      </c>
    </row>
    <row r="153" spans="1:65" s="2" customFormat="1" ht="24.2" customHeight="1">
      <c r="A153" s="31"/>
      <c r="B153" s="139"/>
      <c r="C153" s="140" t="s">
        <v>177</v>
      </c>
      <c r="D153" s="140" t="s">
        <v>123</v>
      </c>
      <c r="E153" s="141" t="s">
        <v>178</v>
      </c>
      <c r="F153" s="142" t="s">
        <v>179</v>
      </c>
      <c r="G153" s="143" t="s">
        <v>136</v>
      </c>
      <c r="H153" s="144">
        <v>4</v>
      </c>
      <c r="I153" s="144"/>
      <c r="J153" s="145">
        <f>ROUND(I153*H153,3)</f>
        <v>0</v>
      </c>
      <c r="K153" s="146"/>
      <c r="L153" s="32"/>
      <c r="M153" s="147" t="s">
        <v>1</v>
      </c>
      <c r="N153" s="148" t="s">
        <v>43</v>
      </c>
      <c r="O153" s="57"/>
      <c r="P153" s="149">
        <f>O153*H153</f>
        <v>0</v>
      </c>
      <c r="Q153" s="149">
        <v>0</v>
      </c>
      <c r="R153" s="149">
        <f>Q153*H153</f>
        <v>0</v>
      </c>
      <c r="S153" s="149">
        <v>0</v>
      </c>
      <c r="T153" s="150">
        <f>S153*H153</f>
        <v>0</v>
      </c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R153" s="151" t="s">
        <v>127</v>
      </c>
      <c r="AT153" s="151" t="s">
        <v>123</v>
      </c>
      <c r="AU153" s="151" t="s">
        <v>128</v>
      </c>
      <c r="AY153" s="16" t="s">
        <v>121</v>
      </c>
      <c r="BE153" s="152">
        <f>IF(N153="základná",J153,0)</f>
        <v>0</v>
      </c>
      <c r="BF153" s="152">
        <f>IF(N153="znížená",J153,0)</f>
        <v>0</v>
      </c>
      <c r="BG153" s="152">
        <f>IF(N153="zákl. prenesená",J153,0)</f>
        <v>0</v>
      </c>
      <c r="BH153" s="152">
        <f>IF(N153="zníž. prenesená",J153,0)</f>
        <v>0</v>
      </c>
      <c r="BI153" s="152">
        <f>IF(N153="nulová",J153,0)</f>
        <v>0</v>
      </c>
      <c r="BJ153" s="16" t="s">
        <v>128</v>
      </c>
      <c r="BK153" s="153">
        <f>ROUND(I153*H153,3)</f>
        <v>0</v>
      </c>
      <c r="BL153" s="16" t="s">
        <v>127</v>
      </c>
      <c r="BM153" s="151" t="s">
        <v>180</v>
      </c>
    </row>
    <row r="154" spans="1:65" s="13" customFormat="1">
      <c r="B154" s="154"/>
      <c r="D154" s="155" t="s">
        <v>138</v>
      </c>
      <c r="E154" s="156" t="s">
        <v>1</v>
      </c>
      <c r="F154" s="157" t="s">
        <v>181</v>
      </c>
      <c r="H154" s="158">
        <v>4</v>
      </c>
      <c r="I154" s="159"/>
      <c r="L154" s="154"/>
      <c r="M154" s="160"/>
      <c r="N154" s="161"/>
      <c r="O154" s="161"/>
      <c r="P154" s="161"/>
      <c r="Q154" s="161"/>
      <c r="R154" s="161"/>
      <c r="S154" s="161"/>
      <c r="T154" s="162"/>
      <c r="AT154" s="156" t="s">
        <v>138</v>
      </c>
      <c r="AU154" s="156" t="s">
        <v>128</v>
      </c>
      <c r="AV154" s="13" t="s">
        <v>128</v>
      </c>
      <c r="AW154" s="13" t="s">
        <v>32</v>
      </c>
      <c r="AX154" s="13" t="s">
        <v>85</v>
      </c>
      <c r="AY154" s="156" t="s">
        <v>121</v>
      </c>
    </row>
    <row r="155" spans="1:65" s="2" customFormat="1" ht="14.45" customHeight="1">
      <c r="A155" s="31"/>
      <c r="B155" s="139"/>
      <c r="C155" s="140" t="s">
        <v>137</v>
      </c>
      <c r="D155" s="140" t="s">
        <v>123</v>
      </c>
      <c r="E155" s="141" t="s">
        <v>182</v>
      </c>
      <c r="F155" s="142" t="s">
        <v>183</v>
      </c>
      <c r="G155" s="143" t="s">
        <v>172</v>
      </c>
      <c r="H155" s="144">
        <v>4.5</v>
      </c>
      <c r="I155" s="144"/>
      <c r="J155" s="145">
        <f>ROUND(I155*H155,3)</f>
        <v>0</v>
      </c>
      <c r="K155" s="146"/>
      <c r="L155" s="32"/>
      <c r="M155" s="147" t="s">
        <v>1</v>
      </c>
      <c r="N155" s="148" t="s">
        <v>43</v>
      </c>
      <c r="O155" s="57"/>
      <c r="P155" s="149">
        <f>O155*H155</f>
        <v>0</v>
      </c>
      <c r="Q155" s="149">
        <v>7.3899999999999999E-3</v>
      </c>
      <c r="R155" s="149">
        <f>Q155*H155</f>
        <v>3.3255E-2</v>
      </c>
      <c r="S155" s="149">
        <v>0</v>
      </c>
      <c r="T155" s="150">
        <f>S155*H155</f>
        <v>0</v>
      </c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R155" s="151" t="s">
        <v>127</v>
      </c>
      <c r="AT155" s="151" t="s">
        <v>123</v>
      </c>
      <c r="AU155" s="151" t="s">
        <v>128</v>
      </c>
      <c r="AY155" s="16" t="s">
        <v>121</v>
      </c>
      <c r="BE155" s="152">
        <f>IF(N155="základná",J155,0)</f>
        <v>0</v>
      </c>
      <c r="BF155" s="152">
        <f>IF(N155="znížená",J155,0)</f>
        <v>0</v>
      </c>
      <c r="BG155" s="152">
        <f>IF(N155="zákl. prenesená",J155,0)</f>
        <v>0</v>
      </c>
      <c r="BH155" s="152">
        <f>IF(N155="zníž. prenesená",J155,0)</f>
        <v>0</v>
      </c>
      <c r="BI155" s="152">
        <f>IF(N155="nulová",J155,0)</f>
        <v>0</v>
      </c>
      <c r="BJ155" s="16" t="s">
        <v>128</v>
      </c>
      <c r="BK155" s="153">
        <f>ROUND(I155*H155,3)</f>
        <v>0</v>
      </c>
      <c r="BL155" s="16" t="s">
        <v>127</v>
      </c>
      <c r="BM155" s="151" t="s">
        <v>184</v>
      </c>
    </row>
    <row r="156" spans="1:65" s="2" customFormat="1" ht="37.9" customHeight="1">
      <c r="A156" s="31"/>
      <c r="B156" s="139"/>
      <c r="C156" s="140" t="s">
        <v>185</v>
      </c>
      <c r="D156" s="140" t="s">
        <v>123</v>
      </c>
      <c r="E156" s="141" t="s">
        <v>186</v>
      </c>
      <c r="F156" s="142" t="s">
        <v>187</v>
      </c>
      <c r="G156" s="143" t="s">
        <v>188</v>
      </c>
      <c r="H156" s="144">
        <v>80</v>
      </c>
      <c r="I156" s="144"/>
      <c r="J156" s="145">
        <f>ROUND(I156*H156,3)</f>
        <v>0</v>
      </c>
      <c r="K156" s="146"/>
      <c r="L156" s="32"/>
      <c r="M156" s="147" t="s">
        <v>1</v>
      </c>
      <c r="N156" s="148" t="s">
        <v>43</v>
      </c>
      <c r="O156" s="57"/>
      <c r="P156" s="149">
        <f>O156*H156</f>
        <v>0</v>
      </c>
      <c r="Q156" s="149">
        <v>1.16E-3</v>
      </c>
      <c r="R156" s="149">
        <f>Q156*H156</f>
        <v>9.2799999999999994E-2</v>
      </c>
      <c r="S156" s="149">
        <v>0</v>
      </c>
      <c r="T156" s="150">
        <f>S156*H156</f>
        <v>0</v>
      </c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R156" s="151" t="s">
        <v>127</v>
      </c>
      <c r="AT156" s="151" t="s">
        <v>123</v>
      </c>
      <c r="AU156" s="151" t="s">
        <v>128</v>
      </c>
      <c r="AY156" s="16" t="s">
        <v>121</v>
      </c>
      <c r="BE156" s="152">
        <f>IF(N156="základná",J156,0)</f>
        <v>0</v>
      </c>
      <c r="BF156" s="152">
        <f>IF(N156="znížená",J156,0)</f>
        <v>0</v>
      </c>
      <c r="BG156" s="152">
        <f>IF(N156="zákl. prenesená",J156,0)</f>
        <v>0</v>
      </c>
      <c r="BH156" s="152">
        <f>IF(N156="zníž. prenesená",J156,0)</f>
        <v>0</v>
      </c>
      <c r="BI156" s="152">
        <f>IF(N156="nulová",J156,0)</f>
        <v>0</v>
      </c>
      <c r="BJ156" s="16" t="s">
        <v>128</v>
      </c>
      <c r="BK156" s="153">
        <f>ROUND(I156*H156,3)</f>
        <v>0</v>
      </c>
      <c r="BL156" s="16" t="s">
        <v>127</v>
      </c>
      <c r="BM156" s="151" t="s">
        <v>189</v>
      </c>
    </row>
    <row r="157" spans="1:65" s="13" customFormat="1">
      <c r="B157" s="154"/>
      <c r="D157" s="155" t="s">
        <v>138</v>
      </c>
      <c r="E157" s="156" t="s">
        <v>1</v>
      </c>
      <c r="F157" s="157" t="s">
        <v>190</v>
      </c>
      <c r="H157" s="158">
        <v>80</v>
      </c>
      <c r="I157" s="159"/>
      <c r="L157" s="154"/>
      <c r="M157" s="160"/>
      <c r="N157" s="161"/>
      <c r="O157" s="161"/>
      <c r="P157" s="161"/>
      <c r="Q157" s="161"/>
      <c r="R157" s="161"/>
      <c r="S157" s="161"/>
      <c r="T157" s="162"/>
      <c r="AT157" s="156" t="s">
        <v>138</v>
      </c>
      <c r="AU157" s="156" t="s">
        <v>128</v>
      </c>
      <c r="AV157" s="13" t="s">
        <v>128</v>
      </c>
      <c r="AW157" s="13" t="s">
        <v>32</v>
      </c>
      <c r="AX157" s="13" t="s">
        <v>85</v>
      </c>
      <c r="AY157" s="156" t="s">
        <v>121</v>
      </c>
    </row>
    <row r="158" spans="1:65" s="2" customFormat="1" ht="14.45" customHeight="1">
      <c r="A158" s="31"/>
      <c r="B158" s="139"/>
      <c r="C158" s="171" t="s">
        <v>144</v>
      </c>
      <c r="D158" s="171" t="s">
        <v>191</v>
      </c>
      <c r="E158" s="172" t="s">
        <v>192</v>
      </c>
      <c r="F158" s="173" t="s">
        <v>193</v>
      </c>
      <c r="G158" s="174" t="s">
        <v>188</v>
      </c>
      <c r="H158" s="175">
        <v>80</v>
      </c>
      <c r="I158" s="175"/>
      <c r="J158" s="176">
        <f>ROUND(I158*H158,3)</f>
        <v>0</v>
      </c>
      <c r="K158" s="177"/>
      <c r="L158" s="178"/>
      <c r="M158" s="179" t="s">
        <v>1</v>
      </c>
      <c r="N158" s="180" t="s">
        <v>43</v>
      </c>
      <c r="O158" s="57"/>
      <c r="P158" s="149">
        <f>O158*H158</f>
        <v>0</v>
      </c>
      <c r="Q158" s="149">
        <v>0</v>
      </c>
      <c r="R158" s="149">
        <f>Q158*H158</f>
        <v>0</v>
      </c>
      <c r="S158" s="149">
        <v>0</v>
      </c>
      <c r="T158" s="150">
        <f>S158*H158</f>
        <v>0</v>
      </c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R158" s="151" t="s">
        <v>132</v>
      </c>
      <c r="AT158" s="151" t="s">
        <v>191</v>
      </c>
      <c r="AU158" s="151" t="s">
        <v>128</v>
      </c>
      <c r="AY158" s="16" t="s">
        <v>121</v>
      </c>
      <c r="BE158" s="152">
        <f>IF(N158="základná",J158,0)</f>
        <v>0</v>
      </c>
      <c r="BF158" s="152">
        <f>IF(N158="znížená",J158,0)</f>
        <v>0</v>
      </c>
      <c r="BG158" s="152">
        <f>IF(N158="zákl. prenesená",J158,0)</f>
        <v>0</v>
      </c>
      <c r="BH158" s="152">
        <f>IF(N158="zníž. prenesená",J158,0)</f>
        <v>0</v>
      </c>
      <c r="BI158" s="152">
        <f>IF(N158="nulová",J158,0)</f>
        <v>0</v>
      </c>
      <c r="BJ158" s="16" t="s">
        <v>128</v>
      </c>
      <c r="BK158" s="153">
        <f>ROUND(I158*H158,3)</f>
        <v>0</v>
      </c>
      <c r="BL158" s="16" t="s">
        <v>127</v>
      </c>
      <c r="BM158" s="151" t="s">
        <v>194</v>
      </c>
    </row>
    <row r="159" spans="1:65" s="2" customFormat="1" ht="14.45" customHeight="1">
      <c r="A159" s="31"/>
      <c r="B159" s="139"/>
      <c r="C159" s="140" t="s">
        <v>195</v>
      </c>
      <c r="D159" s="140" t="s">
        <v>123</v>
      </c>
      <c r="E159" s="141" t="s">
        <v>196</v>
      </c>
      <c r="F159" s="142" t="s">
        <v>197</v>
      </c>
      <c r="G159" s="143" t="s">
        <v>126</v>
      </c>
      <c r="H159" s="144">
        <v>15.28</v>
      </c>
      <c r="I159" s="144"/>
      <c r="J159" s="145">
        <f>ROUND(I159*H159,3)</f>
        <v>0</v>
      </c>
      <c r="K159" s="146"/>
      <c r="L159" s="32"/>
      <c r="M159" s="147" t="s">
        <v>1</v>
      </c>
      <c r="N159" s="148" t="s">
        <v>43</v>
      </c>
      <c r="O159" s="57"/>
      <c r="P159" s="149">
        <f>O159*H159</f>
        <v>0</v>
      </c>
      <c r="Q159" s="149">
        <v>0</v>
      </c>
      <c r="R159" s="149">
        <f>Q159*H159</f>
        <v>0</v>
      </c>
      <c r="S159" s="149">
        <v>0</v>
      </c>
      <c r="T159" s="150">
        <f>S159*H159</f>
        <v>0</v>
      </c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R159" s="151" t="s">
        <v>127</v>
      </c>
      <c r="AT159" s="151" t="s">
        <v>123</v>
      </c>
      <c r="AU159" s="151" t="s">
        <v>128</v>
      </c>
      <c r="AY159" s="16" t="s">
        <v>121</v>
      </c>
      <c r="BE159" s="152">
        <f>IF(N159="základná",J159,0)</f>
        <v>0</v>
      </c>
      <c r="BF159" s="152">
        <f>IF(N159="znížená",J159,0)</f>
        <v>0</v>
      </c>
      <c r="BG159" s="152">
        <f>IF(N159="zákl. prenesená",J159,0)</f>
        <v>0</v>
      </c>
      <c r="BH159" s="152">
        <f>IF(N159="zníž. prenesená",J159,0)</f>
        <v>0</v>
      </c>
      <c r="BI159" s="152">
        <f>IF(N159="nulová",J159,0)</f>
        <v>0</v>
      </c>
      <c r="BJ159" s="16" t="s">
        <v>128</v>
      </c>
      <c r="BK159" s="153">
        <f>ROUND(I159*H159,3)</f>
        <v>0</v>
      </c>
      <c r="BL159" s="16" t="s">
        <v>127</v>
      </c>
      <c r="BM159" s="151" t="s">
        <v>198</v>
      </c>
    </row>
    <row r="160" spans="1:65" s="13" customFormat="1" ht="22.5">
      <c r="B160" s="154"/>
      <c r="D160" s="155" t="s">
        <v>138</v>
      </c>
      <c r="E160" s="156" t="s">
        <v>1</v>
      </c>
      <c r="F160" s="157" t="s">
        <v>199</v>
      </c>
      <c r="H160" s="158">
        <v>15.28</v>
      </c>
      <c r="I160" s="159"/>
      <c r="L160" s="154"/>
      <c r="M160" s="160"/>
      <c r="N160" s="161"/>
      <c r="O160" s="161"/>
      <c r="P160" s="161"/>
      <c r="Q160" s="161"/>
      <c r="R160" s="161"/>
      <c r="S160" s="161"/>
      <c r="T160" s="162"/>
      <c r="AT160" s="156" t="s">
        <v>138</v>
      </c>
      <c r="AU160" s="156" t="s">
        <v>128</v>
      </c>
      <c r="AV160" s="13" t="s">
        <v>128</v>
      </c>
      <c r="AW160" s="13" t="s">
        <v>32</v>
      </c>
      <c r="AX160" s="13" t="s">
        <v>85</v>
      </c>
      <c r="AY160" s="156" t="s">
        <v>121</v>
      </c>
    </row>
    <row r="161" spans="1:65" s="2" customFormat="1" ht="14.45" customHeight="1">
      <c r="A161" s="31"/>
      <c r="B161" s="139"/>
      <c r="C161" s="140" t="s">
        <v>153</v>
      </c>
      <c r="D161" s="140" t="s">
        <v>123</v>
      </c>
      <c r="E161" s="141" t="s">
        <v>200</v>
      </c>
      <c r="F161" s="142" t="s">
        <v>201</v>
      </c>
      <c r="G161" s="143" t="s">
        <v>126</v>
      </c>
      <c r="H161" s="144">
        <v>15.28</v>
      </c>
      <c r="I161" s="144"/>
      <c r="J161" s="145">
        <f>ROUND(I161*H161,3)</f>
        <v>0</v>
      </c>
      <c r="K161" s="146"/>
      <c r="L161" s="32"/>
      <c r="M161" s="147" t="s">
        <v>1</v>
      </c>
      <c r="N161" s="148" t="s">
        <v>43</v>
      </c>
      <c r="O161" s="57"/>
      <c r="P161" s="149">
        <f>O161*H161</f>
        <v>0</v>
      </c>
      <c r="Q161" s="149">
        <v>0</v>
      </c>
      <c r="R161" s="149">
        <f>Q161*H161</f>
        <v>0</v>
      </c>
      <c r="S161" s="149">
        <v>0</v>
      </c>
      <c r="T161" s="150">
        <f>S161*H161</f>
        <v>0</v>
      </c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R161" s="151" t="s">
        <v>127</v>
      </c>
      <c r="AT161" s="151" t="s">
        <v>123</v>
      </c>
      <c r="AU161" s="151" t="s">
        <v>128</v>
      </c>
      <c r="AY161" s="16" t="s">
        <v>121</v>
      </c>
      <c r="BE161" s="152">
        <f>IF(N161="základná",J161,0)</f>
        <v>0</v>
      </c>
      <c r="BF161" s="152">
        <f>IF(N161="znížená",J161,0)</f>
        <v>0</v>
      </c>
      <c r="BG161" s="152">
        <f>IF(N161="zákl. prenesená",J161,0)</f>
        <v>0</v>
      </c>
      <c r="BH161" s="152">
        <f>IF(N161="zníž. prenesená",J161,0)</f>
        <v>0</v>
      </c>
      <c r="BI161" s="152">
        <f>IF(N161="nulová",J161,0)</f>
        <v>0</v>
      </c>
      <c r="BJ161" s="16" t="s">
        <v>128</v>
      </c>
      <c r="BK161" s="153">
        <f>ROUND(I161*H161,3)</f>
        <v>0</v>
      </c>
      <c r="BL161" s="16" t="s">
        <v>127</v>
      </c>
      <c r="BM161" s="151" t="s">
        <v>202</v>
      </c>
    </row>
    <row r="162" spans="1:65" s="12" customFormat="1" ht="22.9" customHeight="1">
      <c r="B162" s="126"/>
      <c r="D162" s="127" t="s">
        <v>76</v>
      </c>
      <c r="E162" s="137" t="s">
        <v>133</v>
      </c>
      <c r="F162" s="137" t="s">
        <v>203</v>
      </c>
      <c r="I162" s="129"/>
      <c r="J162" s="138">
        <f>BK162</f>
        <v>0</v>
      </c>
      <c r="L162" s="126"/>
      <c r="M162" s="131"/>
      <c r="N162" s="132"/>
      <c r="O162" s="132"/>
      <c r="P162" s="133">
        <f>SUM(P163:P173)</f>
        <v>0</v>
      </c>
      <c r="Q162" s="132"/>
      <c r="R162" s="133">
        <f>SUM(R163:R173)</f>
        <v>2.6640000000000004E-2</v>
      </c>
      <c r="S162" s="132"/>
      <c r="T162" s="134">
        <f>SUM(T163:T173)</f>
        <v>0</v>
      </c>
      <c r="AR162" s="127" t="s">
        <v>85</v>
      </c>
      <c r="AT162" s="135" t="s">
        <v>76</v>
      </c>
      <c r="AU162" s="135" t="s">
        <v>85</v>
      </c>
      <c r="AY162" s="127" t="s">
        <v>121</v>
      </c>
      <c r="BK162" s="136">
        <f>SUM(BK163:BK173)</f>
        <v>0</v>
      </c>
    </row>
    <row r="163" spans="1:65" s="2" customFormat="1" ht="14.45" customHeight="1">
      <c r="A163" s="31"/>
      <c r="B163" s="139"/>
      <c r="C163" s="140" t="s">
        <v>204</v>
      </c>
      <c r="D163" s="140" t="s">
        <v>123</v>
      </c>
      <c r="E163" s="141" t="s">
        <v>205</v>
      </c>
      <c r="F163" s="142" t="s">
        <v>206</v>
      </c>
      <c r="G163" s="143" t="s">
        <v>136</v>
      </c>
      <c r="H163" s="144">
        <v>2.52</v>
      </c>
      <c r="I163" s="144"/>
      <c r="J163" s="145">
        <f>ROUND(I163*H163,3)</f>
        <v>0</v>
      </c>
      <c r="K163" s="146"/>
      <c r="L163" s="32"/>
      <c r="M163" s="147" t="s">
        <v>1</v>
      </c>
      <c r="N163" s="148" t="s">
        <v>43</v>
      </c>
      <c r="O163" s="57"/>
      <c r="P163" s="149">
        <f>O163*H163</f>
        <v>0</v>
      </c>
      <c r="Q163" s="149">
        <v>0</v>
      </c>
      <c r="R163" s="149">
        <f>Q163*H163</f>
        <v>0</v>
      </c>
      <c r="S163" s="149">
        <v>0</v>
      </c>
      <c r="T163" s="150">
        <f>S163*H163</f>
        <v>0</v>
      </c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R163" s="151" t="s">
        <v>127</v>
      </c>
      <c r="AT163" s="151" t="s">
        <v>123</v>
      </c>
      <c r="AU163" s="151" t="s">
        <v>128</v>
      </c>
      <c r="AY163" s="16" t="s">
        <v>121</v>
      </c>
      <c r="BE163" s="152">
        <f>IF(N163="základná",J163,0)</f>
        <v>0</v>
      </c>
      <c r="BF163" s="152">
        <f>IF(N163="znížená",J163,0)</f>
        <v>0</v>
      </c>
      <c r="BG163" s="152">
        <f>IF(N163="zákl. prenesená",J163,0)</f>
        <v>0</v>
      </c>
      <c r="BH163" s="152">
        <f>IF(N163="zníž. prenesená",J163,0)</f>
        <v>0</v>
      </c>
      <c r="BI163" s="152">
        <f>IF(N163="nulová",J163,0)</f>
        <v>0</v>
      </c>
      <c r="BJ163" s="16" t="s">
        <v>128</v>
      </c>
      <c r="BK163" s="153">
        <f>ROUND(I163*H163,3)</f>
        <v>0</v>
      </c>
      <c r="BL163" s="16" t="s">
        <v>127</v>
      </c>
      <c r="BM163" s="151" t="s">
        <v>207</v>
      </c>
    </row>
    <row r="164" spans="1:65" s="13" customFormat="1">
      <c r="B164" s="154"/>
      <c r="D164" s="155" t="s">
        <v>138</v>
      </c>
      <c r="E164" s="156" t="s">
        <v>1</v>
      </c>
      <c r="F164" s="157" t="s">
        <v>208</v>
      </c>
      <c r="H164" s="158">
        <v>2.52</v>
      </c>
      <c r="I164" s="159"/>
      <c r="L164" s="154"/>
      <c r="M164" s="160"/>
      <c r="N164" s="161"/>
      <c r="O164" s="161"/>
      <c r="P164" s="161"/>
      <c r="Q164" s="161"/>
      <c r="R164" s="161"/>
      <c r="S164" s="161"/>
      <c r="T164" s="162"/>
      <c r="AT164" s="156" t="s">
        <v>138</v>
      </c>
      <c r="AU164" s="156" t="s">
        <v>128</v>
      </c>
      <c r="AV164" s="13" t="s">
        <v>128</v>
      </c>
      <c r="AW164" s="13" t="s">
        <v>32</v>
      </c>
      <c r="AX164" s="13" t="s">
        <v>85</v>
      </c>
      <c r="AY164" s="156" t="s">
        <v>121</v>
      </c>
    </row>
    <row r="165" spans="1:65" s="2" customFormat="1" ht="24.2" customHeight="1">
      <c r="A165" s="31"/>
      <c r="B165" s="139"/>
      <c r="C165" s="140" t="s">
        <v>209</v>
      </c>
      <c r="D165" s="140" t="s">
        <v>123</v>
      </c>
      <c r="E165" s="141" t="s">
        <v>210</v>
      </c>
      <c r="F165" s="142" t="s">
        <v>211</v>
      </c>
      <c r="G165" s="143" t="s">
        <v>212</v>
      </c>
      <c r="H165" s="144">
        <v>0.36899999999999999</v>
      </c>
      <c r="I165" s="144"/>
      <c r="J165" s="145">
        <f>ROUND(I165*H165,3)</f>
        <v>0</v>
      </c>
      <c r="K165" s="146"/>
      <c r="L165" s="32"/>
      <c r="M165" s="147" t="s">
        <v>1</v>
      </c>
      <c r="N165" s="148" t="s">
        <v>43</v>
      </c>
      <c r="O165" s="57"/>
      <c r="P165" s="149">
        <f>O165*H165</f>
        <v>0</v>
      </c>
      <c r="Q165" s="149">
        <v>0</v>
      </c>
      <c r="R165" s="149">
        <f>Q165*H165</f>
        <v>0</v>
      </c>
      <c r="S165" s="149">
        <v>0</v>
      </c>
      <c r="T165" s="150">
        <f>S165*H165</f>
        <v>0</v>
      </c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R165" s="151" t="s">
        <v>127</v>
      </c>
      <c r="AT165" s="151" t="s">
        <v>123</v>
      </c>
      <c r="AU165" s="151" t="s">
        <v>128</v>
      </c>
      <c r="AY165" s="16" t="s">
        <v>121</v>
      </c>
      <c r="BE165" s="152">
        <f>IF(N165="základná",J165,0)</f>
        <v>0</v>
      </c>
      <c r="BF165" s="152">
        <f>IF(N165="znížená",J165,0)</f>
        <v>0</v>
      </c>
      <c r="BG165" s="152">
        <f>IF(N165="zákl. prenesená",J165,0)</f>
        <v>0</v>
      </c>
      <c r="BH165" s="152">
        <f>IF(N165="zníž. prenesená",J165,0)</f>
        <v>0</v>
      </c>
      <c r="BI165" s="152">
        <f>IF(N165="nulová",J165,0)</f>
        <v>0</v>
      </c>
      <c r="BJ165" s="16" t="s">
        <v>128</v>
      </c>
      <c r="BK165" s="153">
        <f>ROUND(I165*H165,3)</f>
        <v>0</v>
      </c>
      <c r="BL165" s="16" t="s">
        <v>127</v>
      </c>
      <c r="BM165" s="151" t="s">
        <v>213</v>
      </c>
    </row>
    <row r="166" spans="1:65" s="13" customFormat="1">
      <c r="B166" s="154"/>
      <c r="D166" s="155" t="s">
        <v>138</v>
      </c>
      <c r="E166" s="156" t="s">
        <v>1</v>
      </c>
      <c r="F166" s="157" t="s">
        <v>214</v>
      </c>
      <c r="H166" s="158">
        <v>0.252</v>
      </c>
      <c r="I166" s="159"/>
      <c r="L166" s="154"/>
      <c r="M166" s="160"/>
      <c r="N166" s="161"/>
      <c r="O166" s="161"/>
      <c r="P166" s="161"/>
      <c r="Q166" s="161"/>
      <c r="R166" s="161"/>
      <c r="S166" s="161"/>
      <c r="T166" s="162"/>
      <c r="AT166" s="156" t="s">
        <v>138</v>
      </c>
      <c r="AU166" s="156" t="s">
        <v>128</v>
      </c>
      <c r="AV166" s="13" t="s">
        <v>128</v>
      </c>
      <c r="AW166" s="13" t="s">
        <v>32</v>
      </c>
      <c r="AX166" s="13" t="s">
        <v>77</v>
      </c>
      <c r="AY166" s="156" t="s">
        <v>121</v>
      </c>
    </row>
    <row r="167" spans="1:65" s="13" customFormat="1">
      <c r="B167" s="154"/>
      <c r="D167" s="155" t="s">
        <v>138</v>
      </c>
      <c r="E167" s="156" t="s">
        <v>1</v>
      </c>
      <c r="F167" s="157" t="s">
        <v>215</v>
      </c>
      <c r="H167" s="158">
        <v>6.7000000000000004E-2</v>
      </c>
      <c r="I167" s="159"/>
      <c r="L167" s="154"/>
      <c r="M167" s="160"/>
      <c r="N167" s="161"/>
      <c r="O167" s="161"/>
      <c r="P167" s="161"/>
      <c r="Q167" s="161"/>
      <c r="R167" s="161"/>
      <c r="S167" s="161"/>
      <c r="T167" s="162"/>
      <c r="AT167" s="156" t="s">
        <v>138</v>
      </c>
      <c r="AU167" s="156" t="s">
        <v>128</v>
      </c>
      <c r="AV167" s="13" t="s">
        <v>128</v>
      </c>
      <c r="AW167" s="13" t="s">
        <v>32</v>
      </c>
      <c r="AX167" s="13" t="s">
        <v>77</v>
      </c>
      <c r="AY167" s="156" t="s">
        <v>121</v>
      </c>
    </row>
    <row r="168" spans="1:65" s="13" customFormat="1">
      <c r="B168" s="154"/>
      <c r="D168" s="155" t="s">
        <v>138</v>
      </c>
      <c r="E168" s="156" t="s">
        <v>1</v>
      </c>
      <c r="F168" s="157" t="s">
        <v>216</v>
      </c>
      <c r="H168" s="158">
        <v>0.05</v>
      </c>
      <c r="I168" s="159"/>
      <c r="L168" s="154"/>
      <c r="M168" s="160"/>
      <c r="N168" s="161"/>
      <c r="O168" s="161"/>
      <c r="P168" s="161"/>
      <c r="Q168" s="161"/>
      <c r="R168" s="161"/>
      <c r="S168" s="161"/>
      <c r="T168" s="162"/>
      <c r="AT168" s="156" t="s">
        <v>138</v>
      </c>
      <c r="AU168" s="156" t="s">
        <v>128</v>
      </c>
      <c r="AV168" s="13" t="s">
        <v>128</v>
      </c>
      <c r="AW168" s="13" t="s">
        <v>32</v>
      </c>
      <c r="AX168" s="13" t="s">
        <v>77</v>
      </c>
      <c r="AY168" s="156" t="s">
        <v>121</v>
      </c>
    </row>
    <row r="169" spans="1:65" s="14" customFormat="1">
      <c r="B169" s="163"/>
      <c r="D169" s="155" t="s">
        <v>138</v>
      </c>
      <c r="E169" s="164" t="s">
        <v>1</v>
      </c>
      <c r="F169" s="165" t="s">
        <v>141</v>
      </c>
      <c r="H169" s="166">
        <v>0.36899999999999999</v>
      </c>
      <c r="I169" s="167"/>
      <c r="L169" s="163"/>
      <c r="M169" s="168"/>
      <c r="N169" s="169"/>
      <c r="O169" s="169"/>
      <c r="P169" s="169"/>
      <c r="Q169" s="169"/>
      <c r="R169" s="169"/>
      <c r="S169" s="169"/>
      <c r="T169" s="170"/>
      <c r="AT169" s="164" t="s">
        <v>138</v>
      </c>
      <c r="AU169" s="164" t="s">
        <v>128</v>
      </c>
      <c r="AV169" s="14" t="s">
        <v>127</v>
      </c>
      <c r="AW169" s="14" t="s">
        <v>32</v>
      </c>
      <c r="AX169" s="14" t="s">
        <v>85</v>
      </c>
      <c r="AY169" s="164" t="s">
        <v>121</v>
      </c>
    </row>
    <row r="170" spans="1:65" s="2" customFormat="1" ht="24.2" customHeight="1">
      <c r="A170" s="31"/>
      <c r="B170" s="139"/>
      <c r="C170" s="171" t="s">
        <v>217</v>
      </c>
      <c r="D170" s="171" t="s">
        <v>191</v>
      </c>
      <c r="E170" s="172" t="s">
        <v>218</v>
      </c>
      <c r="F170" s="173" t="s">
        <v>219</v>
      </c>
      <c r="G170" s="174" t="s">
        <v>126</v>
      </c>
      <c r="H170" s="175">
        <v>6</v>
      </c>
      <c r="I170" s="175"/>
      <c r="J170" s="176">
        <f>ROUND(I170*H170,3)</f>
        <v>0</v>
      </c>
      <c r="K170" s="177"/>
      <c r="L170" s="178"/>
      <c r="M170" s="179" t="s">
        <v>1</v>
      </c>
      <c r="N170" s="180" t="s">
        <v>43</v>
      </c>
      <c r="O170" s="57"/>
      <c r="P170" s="149">
        <f>O170*H170</f>
        <v>0</v>
      </c>
      <c r="Q170" s="149">
        <v>4.4400000000000004E-3</v>
      </c>
      <c r="R170" s="149">
        <f>Q170*H170</f>
        <v>2.6640000000000004E-2</v>
      </c>
      <c r="S170" s="149">
        <v>0</v>
      </c>
      <c r="T170" s="150">
        <f>S170*H170</f>
        <v>0</v>
      </c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R170" s="151" t="s">
        <v>132</v>
      </c>
      <c r="AT170" s="151" t="s">
        <v>191</v>
      </c>
      <c r="AU170" s="151" t="s">
        <v>128</v>
      </c>
      <c r="AY170" s="16" t="s">
        <v>121</v>
      </c>
      <c r="BE170" s="152">
        <f>IF(N170="základná",J170,0)</f>
        <v>0</v>
      </c>
      <c r="BF170" s="152">
        <f>IF(N170="znížená",J170,0)</f>
        <v>0</v>
      </c>
      <c r="BG170" s="152">
        <f>IF(N170="zákl. prenesená",J170,0)</f>
        <v>0</v>
      </c>
      <c r="BH170" s="152">
        <f>IF(N170="zníž. prenesená",J170,0)</f>
        <v>0</v>
      </c>
      <c r="BI170" s="152">
        <f>IF(N170="nulová",J170,0)</f>
        <v>0</v>
      </c>
      <c r="BJ170" s="16" t="s">
        <v>128</v>
      </c>
      <c r="BK170" s="153">
        <f>ROUND(I170*H170,3)</f>
        <v>0</v>
      </c>
      <c r="BL170" s="16" t="s">
        <v>127</v>
      </c>
      <c r="BM170" s="151" t="s">
        <v>220</v>
      </c>
    </row>
    <row r="171" spans="1:65" s="2" customFormat="1" ht="24.2" customHeight="1">
      <c r="A171" s="31"/>
      <c r="B171" s="139"/>
      <c r="C171" s="140" t="s">
        <v>7</v>
      </c>
      <c r="D171" s="140" t="s">
        <v>123</v>
      </c>
      <c r="E171" s="141" t="s">
        <v>221</v>
      </c>
      <c r="F171" s="142" t="s">
        <v>222</v>
      </c>
      <c r="G171" s="143" t="s">
        <v>126</v>
      </c>
      <c r="H171" s="144">
        <v>17.5</v>
      </c>
      <c r="I171" s="144"/>
      <c r="J171" s="145">
        <f>ROUND(I171*H171,3)</f>
        <v>0</v>
      </c>
      <c r="K171" s="146"/>
      <c r="L171" s="32"/>
      <c r="M171" s="147" t="s">
        <v>1</v>
      </c>
      <c r="N171" s="148" t="s">
        <v>43</v>
      </c>
      <c r="O171" s="57"/>
      <c r="P171" s="149">
        <f>O171*H171</f>
        <v>0</v>
      </c>
      <c r="Q171" s="149">
        <v>0</v>
      </c>
      <c r="R171" s="149">
        <f>Q171*H171</f>
        <v>0</v>
      </c>
      <c r="S171" s="149">
        <v>0</v>
      </c>
      <c r="T171" s="150">
        <f>S171*H171</f>
        <v>0</v>
      </c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R171" s="151" t="s">
        <v>127</v>
      </c>
      <c r="AT171" s="151" t="s">
        <v>123</v>
      </c>
      <c r="AU171" s="151" t="s">
        <v>128</v>
      </c>
      <c r="AY171" s="16" t="s">
        <v>121</v>
      </c>
      <c r="BE171" s="152">
        <f>IF(N171="základná",J171,0)</f>
        <v>0</v>
      </c>
      <c r="BF171" s="152">
        <f>IF(N171="znížená",J171,0)</f>
        <v>0</v>
      </c>
      <c r="BG171" s="152">
        <f>IF(N171="zákl. prenesená",J171,0)</f>
        <v>0</v>
      </c>
      <c r="BH171" s="152">
        <f>IF(N171="zníž. prenesená",J171,0)</f>
        <v>0</v>
      </c>
      <c r="BI171" s="152">
        <f>IF(N171="nulová",J171,0)</f>
        <v>0</v>
      </c>
      <c r="BJ171" s="16" t="s">
        <v>128</v>
      </c>
      <c r="BK171" s="153">
        <f>ROUND(I171*H171,3)</f>
        <v>0</v>
      </c>
      <c r="BL171" s="16" t="s">
        <v>127</v>
      </c>
      <c r="BM171" s="151" t="s">
        <v>223</v>
      </c>
    </row>
    <row r="172" spans="1:65" s="13" customFormat="1">
      <c r="B172" s="154"/>
      <c r="D172" s="155" t="s">
        <v>138</v>
      </c>
      <c r="E172" s="156" t="s">
        <v>1</v>
      </c>
      <c r="F172" s="157" t="s">
        <v>224</v>
      </c>
      <c r="H172" s="158">
        <v>17.5</v>
      </c>
      <c r="I172" s="159"/>
      <c r="L172" s="154"/>
      <c r="M172" s="160"/>
      <c r="N172" s="161"/>
      <c r="O172" s="161"/>
      <c r="P172" s="161"/>
      <c r="Q172" s="161"/>
      <c r="R172" s="161"/>
      <c r="S172" s="161"/>
      <c r="T172" s="162"/>
      <c r="AT172" s="156" t="s">
        <v>138</v>
      </c>
      <c r="AU172" s="156" t="s">
        <v>128</v>
      </c>
      <c r="AV172" s="13" t="s">
        <v>128</v>
      </c>
      <c r="AW172" s="13" t="s">
        <v>32</v>
      </c>
      <c r="AX172" s="13" t="s">
        <v>85</v>
      </c>
      <c r="AY172" s="156" t="s">
        <v>121</v>
      </c>
    </row>
    <row r="173" spans="1:65" s="2" customFormat="1" ht="24.2" customHeight="1">
      <c r="A173" s="31"/>
      <c r="B173" s="139"/>
      <c r="C173" s="140" t="s">
        <v>225</v>
      </c>
      <c r="D173" s="140" t="s">
        <v>123</v>
      </c>
      <c r="E173" s="141" t="s">
        <v>226</v>
      </c>
      <c r="F173" s="142" t="s">
        <v>227</v>
      </c>
      <c r="G173" s="143" t="s">
        <v>126</v>
      </c>
      <c r="H173" s="144">
        <v>17.5</v>
      </c>
      <c r="I173" s="144"/>
      <c r="J173" s="145">
        <f>ROUND(I173*H173,3)</f>
        <v>0</v>
      </c>
      <c r="K173" s="146"/>
      <c r="L173" s="32"/>
      <c r="M173" s="147" t="s">
        <v>1</v>
      </c>
      <c r="N173" s="148" t="s">
        <v>43</v>
      </c>
      <c r="O173" s="57"/>
      <c r="P173" s="149">
        <f>O173*H173</f>
        <v>0</v>
      </c>
      <c r="Q173" s="149">
        <v>0</v>
      </c>
      <c r="R173" s="149">
        <f>Q173*H173</f>
        <v>0</v>
      </c>
      <c r="S173" s="149">
        <v>0</v>
      </c>
      <c r="T173" s="150">
        <f>S173*H173</f>
        <v>0</v>
      </c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R173" s="151" t="s">
        <v>127</v>
      </c>
      <c r="AT173" s="151" t="s">
        <v>123</v>
      </c>
      <c r="AU173" s="151" t="s">
        <v>128</v>
      </c>
      <c r="AY173" s="16" t="s">
        <v>121</v>
      </c>
      <c r="BE173" s="152">
        <f>IF(N173="základná",J173,0)</f>
        <v>0</v>
      </c>
      <c r="BF173" s="152">
        <f>IF(N173="znížená",J173,0)</f>
        <v>0</v>
      </c>
      <c r="BG173" s="152">
        <f>IF(N173="zákl. prenesená",J173,0)</f>
        <v>0</v>
      </c>
      <c r="BH173" s="152">
        <f>IF(N173="zníž. prenesená",J173,0)</f>
        <v>0</v>
      </c>
      <c r="BI173" s="152">
        <f>IF(N173="nulová",J173,0)</f>
        <v>0</v>
      </c>
      <c r="BJ173" s="16" t="s">
        <v>128</v>
      </c>
      <c r="BK173" s="153">
        <f>ROUND(I173*H173,3)</f>
        <v>0</v>
      </c>
      <c r="BL173" s="16" t="s">
        <v>127</v>
      </c>
      <c r="BM173" s="151" t="s">
        <v>228</v>
      </c>
    </row>
    <row r="174" spans="1:65" s="12" customFormat="1" ht="22.9" customHeight="1">
      <c r="B174" s="126"/>
      <c r="D174" s="127" t="s">
        <v>76</v>
      </c>
      <c r="E174" s="137" t="s">
        <v>127</v>
      </c>
      <c r="F174" s="137" t="s">
        <v>229</v>
      </c>
      <c r="I174" s="129"/>
      <c r="J174" s="138">
        <f>BK174</f>
        <v>0</v>
      </c>
      <c r="L174" s="126"/>
      <c r="M174" s="131"/>
      <c r="N174" s="132"/>
      <c r="O174" s="132"/>
      <c r="P174" s="133">
        <f>SUM(P175:P176)</f>
        <v>0</v>
      </c>
      <c r="Q174" s="132"/>
      <c r="R174" s="133">
        <f>SUM(R175:R176)</f>
        <v>0</v>
      </c>
      <c r="S174" s="132"/>
      <c r="T174" s="134">
        <f>SUM(T175:T176)</f>
        <v>0</v>
      </c>
      <c r="AR174" s="127" t="s">
        <v>85</v>
      </c>
      <c r="AT174" s="135" t="s">
        <v>76</v>
      </c>
      <c r="AU174" s="135" t="s">
        <v>85</v>
      </c>
      <c r="AY174" s="127" t="s">
        <v>121</v>
      </c>
      <c r="BK174" s="136">
        <f>SUM(BK175:BK176)</f>
        <v>0</v>
      </c>
    </row>
    <row r="175" spans="1:65" s="2" customFormat="1" ht="24.2" customHeight="1">
      <c r="A175" s="31"/>
      <c r="B175" s="139"/>
      <c r="C175" s="140" t="s">
        <v>160</v>
      </c>
      <c r="D175" s="140" t="s">
        <v>123</v>
      </c>
      <c r="E175" s="141" t="s">
        <v>230</v>
      </c>
      <c r="F175" s="142" t="s">
        <v>231</v>
      </c>
      <c r="G175" s="143" t="s">
        <v>172</v>
      </c>
      <c r="H175" s="144">
        <v>28</v>
      </c>
      <c r="I175" s="144"/>
      <c r="J175" s="145">
        <f>ROUND(I175*H175,3)</f>
        <v>0</v>
      </c>
      <c r="K175" s="146"/>
      <c r="L175" s="32"/>
      <c r="M175" s="147" t="s">
        <v>1</v>
      </c>
      <c r="N175" s="148" t="s">
        <v>43</v>
      </c>
      <c r="O175" s="57"/>
      <c r="P175" s="149">
        <f>O175*H175</f>
        <v>0</v>
      </c>
      <c r="Q175" s="149">
        <v>0</v>
      </c>
      <c r="R175" s="149">
        <f>Q175*H175</f>
        <v>0</v>
      </c>
      <c r="S175" s="149">
        <v>0</v>
      </c>
      <c r="T175" s="150">
        <f>S175*H175</f>
        <v>0</v>
      </c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R175" s="151" t="s">
        <v>127</v>
      </c>
      <c r="AT175" s="151" t="s">
        <v>123</v>
      </c>
      <c r="AU175" s="151" t="s">
        <v>128</v>
      </c>
      <c r="AY175" s="16" t="s">
        <v>121</v>
      </c>
      <c r="BE175" s="152">
        <f>IF(N175="základná",J175,0)</f>
        <v>0</v>
      </c>
      <c r="BF175" s="152">
        <f>IF(N175="znížená",J175,0)</f>
        <v>0</v>
      </c>
      <c r="BG175" s="152">
        <f>IF(N175="zákl. prenesená",J175,0)</f>
        <v>0</v>
      </c>
      <c r="BH175" s="152">
        <f>IF(N175="zníž. prenesená",J175,0)</f>
        <v>0</v>
      </c>
      <c r="BI175" s="152">
        <f>IF(N175="nulová",J175,0)</f>
        <v>0</v>
      </c>
      <c r="BJ175" s="16" t="s">
        <v>128</v>
      </c>
      <c r="BK175" s="153">
        <f>ROUND(I175*H175,3)</f>
        <v>0</v>
      </c>
      <c r="BL175" s="16" t="s">
        <v>127</v>
      </c>
      <c r="BM175" s="151" t="s">
        <v>232</v>
      </c>
    </row>
    <row r="176" spans="1:65" s="13" customFormat="1">
      <c r="B176" s="154"/>
      <c r="D176" s="155" t="s">
        <v>138</v>
      </c>
      <c r="E176" s="156" t="s">
        <v>1</v>
      </c>
      <c r="F176" s="157" t="s">
        <v>233</v>
      </c>
      <c r="H176" s="158">
        <v>28</v>
      </c>
      <c r="I176" s="159"/>
      <c r="L176" s="154"/>
      <c r="M176" s="160"/>
      <c r="N176" s="161"/>
      <c r="O176" s="161"/>
      <c r="P176" s="161"/>
      <c r="Q176" s="161"/>
      <c r="R176" s="161"/>
      <c r="S176" s="161"/>
      <c r="T176" s="162"/>
      <c r="AT176" s="156" t="s">
        <v>138</v>
      </c>
      <c r="AU176" s="156" t="s">
        <v>128</v>
      </c>
      <c r="AV176" s="13" t="s">
        <v>128</v>
      </c>
      <c r="AW176" s="13" t="s">
        <v>32</v>
      </c>
      <c r="AX176" s="13" t="s">
        <v>85</v>
      </c>
      <c r="AY176" s="156" t="s">
        <v>121</v>
      </c>
    </row>
    <row r="177" spans="1:65" s="12" customFormat="1" ht="22.9" customHeight="1">
      <c r="B177" s="126"/>
      <c r="D177" s="127" t="s">
        <v>76</v>
      </c>
      <c r="E177" s="137" t="s">
        <v>145</v>
      </c>
      <c r="F177" s="137" t="s">
        <v>234</v>
      </c>
      <c r="I177" s="129"/>
      <c r="J177" s="138">
        <f>BK177</f>
        <v>0</v>
      </c>
      <c r="L177" s="126"/>
      <c r="M177" s="131"/>
      <c r="N177" s="132"/>
      <c r="O177" s="132"/>
      <c r="P177" s="133">
        <f>SUM(P178:P221)</f>
        <v>0</v>
      </c>
      <c r="Q177" s="132"/>
      <c r="R177" s="133">
        <f>SUM(R178:R221)</f>
        <v>0.89340750000000002</v>
      </c>
      <c r="S177" s="132"/>
      <c r="T177" s="134">
        <f>SUM(T178:T221)</f>
        <v>4.2695999999999996</v>
      </c>
      <c r="AR177" s="127" t="s">
        <v>85</v>
      </c>
      <c r="AT177" s="135" t="s">
        <v>76</v>
      </c>
      <c r="AU177" s="135" t="s">
        <v>85</v>
      </c>
      <c r="AY177" s="127" t="s">
        <v>121</v>
      </c>
      <c r="BK177" s="136">
        <f>SUM(BK178:BK221)</f>
        <v>0</v>
      </c>
    </row>
    <row r="178" spans="1:65" s="2" customFormat="1" ht="24.2" customHeight="1">
      <c r="A178" s="31"/>
      <c r="B178" s="139"/>
      <c r="C178" s="140" t="s">
        <v>235</v>
      </c>
      <c r="D178" s="140" t="s">
        <v>123</v>
      </c>
      <c r="E178" s="141" t="s">
        <v>236</v>
      </c>
      <c r="F178" s="142" t="s">
        <v>237</v>
      </c>
      <c r="G178" s="143" t="s">
        <v>172</v>
      </c>
      <c r="H178" s="144">
        <v>20</v>
      </c>
      <c r="I178" s="144"/>
      <c r="J178" s="145">
        <f>ROUND(I178*H178,3)</f>
        <v>0</v>
      </c>
      <c r="K178" s="146"/>
      <c r="L178" s="32"/>
      <c r="M178" s="147" t="s">
        <v>1</v>
      </c>
      <c r="N178" s="148" t="s">
        <v>43</v>
      </c>
      <c r="O178" s="57"/>
      <c r="P178" s="149">
        <f>O178*H178</f>
        <v>0</v>
      </c>
      <c r="Q178" s="149">
        <v>0</v>
      </c>
      <c r="R178" s="149">
        <f>Q178*H178</f>
        <v>0</v>
      </c>
      <c r="S178" s="149">
        <v>0</v>
      </c>
      <c r="T178" s="150">
        <f>S178*H178</f>
        <v>0</v>
      </c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R178" s="151" t="s">
        <v>127</v>
      </c>
      <c r="AT178" s="151" t="s">
        <v>123</v>
      </c>
      <c r="AU178" s="151" t="s">
        <v>128</v>
      </c>
      <c r="AY178" s="16" t="s">
        <v>121</v>
      </c>
      <c r="BE178" s="152">
        <f>IF(N178="základná",J178,0)</f>
        <v>0</v>
      </c>
      <c r="BF178" s="152">
        <f>IF(N178="znížená",J178,0)</f>
        <v>0</v>
      </c>
      <c r="BG178" s="152">
        <f>IF(N178="zákl. prenesená",J178,0)</f>
        <v>0</v>
      </c>
      <c r="BH178" s="152">
        <f>IF(N178="zníž. prenesená",J178,0)</f>
        <v>0</v>
      </c>
      <c r="BI178" s="152">
        <f>IF(N178="nulová",J178,0)</f>
        <v>0</v>
      </c>
      <c r="BJ178" s="16" t="s">
        <v>128</v>
      </c>
      <c r="BK178" s="153">
        <f>ROUND(I178*H178,3)</f>
        <v>0</v>
      </c>
      <c r="BL178" s="16" t="s">
        <v>127</v>
      </c>
      <c r="BM178" s="151" t="s">
        <v>238</v>
      </c>
    </row>
    <row r="179" spans="1:65" s="13" customFormat="1">
      <c r="B179" s="154"/>
      <c r="D179" s="155" t="s">
        <v>138</v>
      </c>
      <c r="E179" s="156" t="s">
        <v>1</v>
      </c>
      <c r="F179" s="157" t="s">
        <v>239</v>
      </c>
      <c r="H179" s="158">
        <v>14</v>
      </c>
      <c r="I179" s="159"/>
      <c r="L179" s="154"/>
      <c r="M179" s="160"/>
      <c r="N179" s="161"/>
      <c r="O179" s="161"/>
      <c r="P179" s="161"/>
      <c r="Q179" s="161"/>
      <c r="R179" s="161"/>
      <c r="S179" s="161"/>
      <c r="T179" s="162"/>
      <c r="AT179" s="156" t="s">
        <v>138</v>
      </c>
      <c r="AU179" s="156" t="s">
        <v>128</v>
      </c>
      <c r="AV179" s="13" t="s">
        <v>128</v>
      </c>
      <c r="AW179" s="13" t="s">
        <v>32</v>
      </c>
      <c r="AX179" s="13" t="s">
        <v>77</v>
      </c>
      <c r="AY179" s="156" t="s">
        <v>121</v>
      </c>
    </row>
    <row r="180" spans="1:65" s="13" customFormat="1">
      <c r="B180" s="154"/>
      <c r="D180" s="155" t="s">
        <v>138</v>
      </c>
      <c r="E180" s="156" t="s">
        <v>1</v>
      </c>
      <c r="F180" s="157" t="s">
        <v>240</v>
      </c>
      <c r="H180" s="158">
        <v>3</v>
      </c>
      <c r="I180" s="159"/>
      <c r="L180" s="154"/>
      <c r="M180" s="160"/>
      <c r="N180" s="161"/>
      <c r="O180" s="161"/>
      <c r="P180" s="161"/>
      <c r="Q180" s="161"/>
      <c r="R180" s="161"/>
      <c r="S180" s="161"/>
      <c r="T180" s="162"/>
      <c r="AT180" s="156" t="s">
        <v>138</v>
      </c>
      <c r="AU180" s="156" t="s">
        <v>128</v>
      </c>
      <c r="AV180" s="13" t="s">
        <v>128</v>
      </c>
      <c r="AW180" s="13" t="s">
        <v>32</v>
      </c>
      <c r="AX180" s="13" t="s">
        <v>77</v>
      </c>
      <c r="AY180" s="156" t="s">
        <v>121</v>
      </c>
    </row>
    <row r="181" spans="1:65" s="13" customFormat="1">
      <c r="B181" s="154"/>
      <c r="D181" s="155" t="s">
        <v>138</v>
      </c>
      <c r="E181" s="156" t="s">
        <v>1</v>
      </c>
      <c r="F181" s="157" t="s">
        <v>241</v>
      </c>
      <c r="H181" s="158">
        <v>3</v>
      </c>
      <c r="I181" s="159"/>
      <c r="L181" s="154"/>
      <c r="M181" s="160"/>
      <c r="N181" s="161"/>
      <c r="O181" s="161"/>
      <c r="P181" s="161"/>
      <c r="Q181" s="161"/>
      <c r="R181" s="161"/>
      <c r="S181" s="161"/>
      <c r="T181" s="162"/>
      <c r="AT181" s="156" t="s">
        <v>138</v>
      </c>
      <c r="AU181" s="156" t="s">
        <v>128</v>
      </c>
      <c r="AV181" s="13" t="s">
        <v>128</v>
      </c>
      <c r="AW181" s="13" t="s">
        <v>32</v>
      </c>
      <c r="AX181" s="13" t="s">
        <v>77</v>
      </c>
      <c r="AY181" s="156" t="s">
        <v>121</v>
      </c>
    </row>
    <row r="182" spans="1:65" s="14" customFormat="1">
      <c r="B182" s="163"/>
      <c r="D182" s="155" t="s">
        <v>138</v>
      </c>
      <c r="E182" s="164" t="s">
        <v>1</v>
      </c>
      <c r="F182" s="165" t="s">
        <v>141</v>
      </c>
      <c r="H182" s="166">
        <v>20</v>
      </c>
      <c r="I182" s="167"/>
      <c r="L182" s="163"/>
      <c r="M182" s="168"/>
      <c r="N182" s="169"/>
      <c r="O182" s="169"/>
      <c r="P182" s="169"/>
      <c r="Q182" s="169"/>
      <c r="R182" s="169"/>
      <c r="S182" s="169"/>
      <c r="T182" s="170"/>
      <c r="AT182" s="164" t="s">
        <v>138</v>
      </c>
      <c r="AU182" s="164" t="s">
        <v>128</v>
      </c>
      <c r="AV182" s="14" t="s">
        <v>127</v>
      </c>
      <c r="AW182" s="14" t="s">
        <v>32</v>
      </c>
      <c r="AX182" s="14" t="s">
        <v>85</v>
      </c>
      <c r="AY182" s="164" t="s">
        <v>121</v>
      </c>
    </row>
    <row r="183" spans="1:65" s="2" customFormat="1" ht="24.2" customHeight="1">
      <c r="A183" s="31"/>
      <c r="B183" s="139"/>
      <c r="C183" s="140" t="s">
        <v>168</v>
      </c>
      <c r="D183" s="140" t="s">
        <v>123</v>
      </c>
      <c r="E183" s="141" t="s">
        <v>242</v>
      </c>
      <c r="F183" s="142" t="s">
        <v>243</v>
      </c>
      <c r="G183" s="143" t="s">
        <v>126</v>
      </c>
      <c r="H183" s="144">
        <v>30.6</v>
      </c>
      <c r="I183" s="144"/>
      <c r="J183" s="145">
        <f>ROUND(I183*H183,3)</f>
        <v>0</v>
      </c>
      <c r="K183" s="146"/>
      <c r="L183" s="32"/>
      <c r="M183" s="147" t="s">
        <v>1</v>
      </c>
      <c r="N183" s="148" t="s">
        <v>43</v>
      </c>
      <c r="O183" s="57"/>
      <c r="P183" s="149">
        <f>O183*H183</f>
        <v>0</v>
      </c>
      <c r="Q183" s="149">
        <v>0</v>
      </c>
      <c r="R183" s="149">
        <f>Q183*H183</f>
        <v>0</v>
      </c>
      <c r="S183" s="149">
        <v>0</v>
      </c>
      <c r="T183" s="150">
        <f>S183*H183</f>
        <v>0</v>
      </c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R183" s="151" t="s">
        <v>127</v>
      </c>
      <c r="AT183" s="151" t="s">
        <v>123</v>
      </c>
      <c r="AU183" s="151" t="s">
        <v>128</v>
      </c>
      <c r="AY183" s="16" t="s">
        <v>121</v>
      </c>
      <c r="BE183" s="152">
        <f>IF(N183="základná",J183,0)</f>
        <v>0</v>
      </c>
      <c r="BF183" s="152">
        <f>IF(N183="znížená",J183,0)</f>
        <v>0</v>
      </c>
      <c r="BG183" s="152">
        <f>IF(N183="zákl. prenesená",J183,0)</f>
        <v>0</v>
      </c>
      <c r="BH183" s="152">
        <f>IF(N183="zníž. prenesená",J183,0)</f>
        <v>0</v>
      </c>
      <c r="BI183" s="152">
        <f>IF(N183="nulová",J183,0)</f>
        <v>0</v>
      </c>
      <c r="BJ183" s="16" t="s">
        <v>128</v>
      </c>
      <c r="BK183" s="153">
        <f>ROUND(I183*H183,3)</f>
        <v>0</v>
      </c>
      <c r="BL183" s="16" t="s">
        <v>127</v>
      </c>
      <c r="BM183" s="151" t="s">
        <v>244</v>
      </c>
    </row>
    <row r="184" spans="1:65" s="13" customFormat="1">
      <c r="B184" s="154"/>
      <c r="D184" s="155" t="s">
        <v>138</v>
      </c>
      <c r="E184" s="156" t="s">
        <v>1</v>
      </c>
      <c r="F184" s="157" t="s">
        <v>245</v>
      </c>
      <c r="H184" s="158">
        <v>30.6</v>
      </c>
      <c r="I184" s="159"/>
      <c r="L184" s="154"/>
      <c r="M184" s="160"/>
      <c r="N184" s="161"/>
      <c r="O184" s="161"/>
      <c r="P184" s="161"/>
      <c r="Q184" s="161"/>
      <c r="R184" s="161"/>
      <c r="S184" s="161"/>
      <c r="T184" s="162"/>
      <c r="AT184" s="156" t="s">
        <v>138</v>
      </c>
      <c r="AU184" s="156" t="s">
        <v>128</v>
      </c>
      <c r="AV184" s="13" t="s">
        <v>128</v>
      </c>
      <c r="AW184" s="13" t="s">
        <v>32</v>
      </c>
      <c r="AX184" s="13" t="s">
        <v>85</v>
      </c>
      <c r="AY184" s="156" t="s">
        <v>121</v>
      </c>
    </row>
    <row r="185" spans="1:65" s="2" customFormat="1" ht="24.2" customHeight="1">
      <c r="A185" s="31"/>
      <c r="B185" s="139"/>
      <c r="C185" s="171" t="s">
        <v>246</v>
      </c>
      <c r="D185" s="171" t="s">
        <v>191</v>
      </c>
      <c r="E185" s="172" t="s">
        <v>247</v>
      </c>
      <c r="F185" s="173" t="s">
        <v>248</v>
      </c>
      <c r="G185" s="174" t="s">
        <v>126</v>
      </c>
      <c r="H185" s="175">
        <v>33.659999999999997</v>
      </c>
      <c r="I185" s="175"/>
      <c r="J185" s="176">
        <f>ROUND(I185*H185,3)</f>
        <v>0</v>
      </c>
      <c r="K185" s="177"/>
      <c r="L185" s="178"/>
      <c r="M185" s="179" t="s">
        <v>1</v>
      </c>
      <c r="N185" s="180" t="s">
        <v>43</v>
      </c>
      <c r="O185" s="57"/>
      <c r="P185" s="149">
        <f>O185*H185</f>
        <v>0</v>
      </c>
      <c r="Q185" s="149">
        <v>0</v>
      </c>
      <c r="R185" s="149">
        <f>Q185*H185</f>
        <v>0</v>
      </c>
      <c r="S185" s="149">
        <v>0</v>
      </c>
      <c r="T185" s="150">
        <f>S185*H185</f>
        <v>0</v>
      </c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R185" s="151" t="s">
        <v>132</v>
      </c>
      <c r="AT185" s="151" t="s">
        <v>191</v>
      </c>
      <c r="AU185" s="151" t="s">
        <v>128</v>
      </c>
      <c r="AY185" s="16" t="s">
        <v>121</v>
      </c>
      <c r="BE185" s="152">
        <f>IF(N185="základná",J185,0)</f>
        <v>0</v>
      </c>
      <c r="BF185" s="152">
        <f>IF(N185="znížená",J185,0)</f>
        <v>0</v>
      </c>
      <c r="BG185" s="152">
        <f>IF(N185="zákl. prenesená",J185,0)</f>
        <v>0</v>
      </c>
      <c r="BH185" s="152">
        <f>IF(N185="zníž. prenesená",J185,0)</f>
        <v>0</v>
      </c>
      <c r="BI185" s="152">
        <f>IF(N185="nulová",J185,0)</f>
        <v>0</v>
      </c>
      <c r="BJ185" s="16" t="s">
        <v>128</v>
      </c>
      <c r="BK185" s="153">
        <f>ROUND(I185*H185,3)</f>
        <v>0</v>
      </c>
      <c r="BL185" s="16" t="s">
        <v>127</v>
      </c>
      <c r="BM185" s="151" t="s">
        <v>249</v>
      </c>
    </row>
    <row r="186" spans="1:65" s="13" customFormat="1">
      <c r="B186" s="154"/>
      <c r="D186" s="155" t="s">
        <v>138</v>
      </c>
      <c r="E186" s="156" t="s">
        <v>1</v>
      </c>
      <c r="F186" s="157" t="s">
        <v>250</v>
      </c>
      <c r="H186" s="158">
        <v>33.659999999999997</v>
      </c>
      <c r="I186" s="159"/>
      <c r="L186" s="154"/>
      <c r="M186" s="160"/>
      <c r="N186" s="161"/>
      <c r="O186" s="161"/>
      <c r="P186" s="161"/>
      <c r="Q186" s="161"/>
      <c r="R186" s="161"/>
      <c r="S186" s="161"/>
      <c r="T186" s="162"/>
      <c r="AT186" s="156" t="s">
        <v>138</v>
      </c>
      <c r="AU186" s="156" t="s">
        <v>128</v>
      </c>
      <c r="AV186" s="13" t="s">
        <v>128</v>
      </c>
      <c r="AW186" s="13" t="s">
        <v>32</v>
      </c>
      <c r="AX186" s="13" t="s">
        <v>85</v>
      </c>
      <c r="AY186" s="156" t="s">
        <v>121</v>
      </c>
    </row>
    <row r="187" spans="1:65" s="2" customFormat="1" ht="14.45" customHeight="1">
      <c r="A187" s="31"/>
      <c r="B187" s="139"/>
      <c r="C187" s="140" t="s">
        <v>173</v>
      </c>
      <c r="D187" s="140" t="s">
        <v>123</v>
      </c>
      <c r="E187" s="141" t="s">
        <v>251</v>
      </c>
      <c r="F187" s="142" t="s">
        <v>252</v>
      </c>
      <c r="G187" s="143" t="s">
        <v>126</v>
      </c>
      <c r="H187" s="144">
        <v>36</v>
      </c>
      <c r="I187" s="144"/>
      <c r="J187" s="145">
        <f>ROUND(I187*H187,3)</f>
        <v>0</v>
      </c>
      <c r="K187" s="146"/>
      <c r="L187" s="32"/>
      <c r="M187" s="147" t="s">
        <v>1</v>
      </c>
      <c r="N187" s="148" t="s">
        <v>43</v>
      </c>
      <c r="O187" s="57"/>
      <c r="P187" s="149">
        <f>O187*H187</f>
        <v>0</v>
      </c>
      <c r="Q187" s="149">
        <v>0</v>
      </c>
      <c r="R187" s="149">
        <f>Q187*H187</f>
        <v>0</v>
      </c>
      <c r="S187" s="149">
        <v>0</v>
      </c>
      <c r="T187" s="150">
        <f>S187*H187</f>
        <v>0</v>
      </c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R187" s="151" t="s">
        <v>127</v>
      </c>
      <c r="AT187" s="151" t="s">
        <v>123</v>
      </c>
      <c r="AU187" s="151" t="s">
        <v>128</v>
      </c>
      <c r="AY187" s="16" t="s">
        <v>121</v>
      </c>
      <c r="BE187" s="152">
        <f>IF(N187="základná",J187,0)</f>
        <v>0</v>
      </c>
      <c r="BF187" s="152">
        <f>IF(N187="znížená",J187,0)</f>
        <v>0</v>
      </c>
      <c r="BG187" s="152">
        <f>IF(N187="zákl. prenesená",J187,0)</f>
        <v>0</v>
      </c>
      <c r="BH187" s="152">
        <f>IF(N187="zníž. prenesená",J187,0)</f>
        <v>0</v>
      </c>
      <c r="BI187" s="152">
        <f>IF(N187="nulová",J187,0)</f>
        <v>0</v>
      </c>
      <c r="BJ187" s="16" t="s">
        <v>128</v>
      </c>
      <c r="BK187" s="153">
        <f>ROUND(I187*H187,3)</f>
        <v>0</v>
      </c>
      <c r="BL187" s="16" t="s">
        <v>127</v>
      </c>
      <c r="BM187" s="151" t="s">
        <v>253</v>
      </c>
    </row>
    <row r="188" spans="1:65" s="13" customFormat="1">
      <c r="B188" s="154"/>
      <c r="D188" s="155" t="s">
        <v>138</v>
      </c>
      <c r="E188" s="156" t="s">
        <v>1</v>
      </c>
      <c r="F188" s="157" t="s">
        <v>254</v>
      </c>
      <c r="H188" s="158">
        <v>36</v>
      </c>
      <c r="I188" s="159"/>
      <c r="L188" s="154"/>
      <c r="M188" s="160"/>
      <c r="N188" s="161"/>
      <c r="O188" s="161"/>
      <c r="P188" s="161"/>
      <c r="Q188" s="161"/>
      <c r="R188" s="161"/>
      <c r="S188" s="161"/>
      <c r="T188" s="162"/>
      <c r="AT188" s="156" t="s">
        <v>138</v>
      </c>
      <c r="AU188" s="156" t="s">
        <v>128</v>
      </c>
      <c r="AV188" s="13" t="s">
        <v>128</v>
      </c>
      <c r="AW188" s="13" t="s">
        <v>32</v>
      </c>
      <c r="AX188" s="13" t="s">
        <v>85</v>
      </c>
      <c r="AY188" s="156" t="s">
        <v>121</v>
      </c>
    </row>
    <row r="189" spans="1:65" s="2" customFormat="1" ht="24.2" customHeight="1">
      <c r="A189" s="31"/>
      <c r="B189" s="139"/>
      <c r="C189" s="140" t="s">
        <v>255</v>
      </c>
      <c r="D189" s="140" t="s">
        <v>123</v>
      </c>
      <c r="E189" s="141" t="s">
        <v>256</v>
      </c>
      <c r="F189" s="142" t="s">
        <v>257</v>
      </c>
      <c r="G189" s="143" t="s">
        <v>126</v>
      </c>
      <c r="H189" s="144">
        <v>48</v>
      </c>
      <c r="I189" s="144"/>
      <c r="J189" s="145">
        <f>ROUND(I189*H189,3)</f>
        <v>0</v>
      </c>
      <c r="K189" s="146"/>
      <c r="L189" s="32"/>
      <c r="M189" s="147" t="s">
        <v>1</v>
      </c>
      <c r="N189" s="148" t="s">
        <v>43</v>
      </c>
      <c r="O189" s="57"/>
      <c r="P189" s="149">
        <f>O189*H189</f>
        <v>0</v>
      </c>
      <c r="Q189" s="149">
        <v>0</v>
      </c>
      <c r="R189" s="149">
        <f>Q189*H189</f>
        <v>0</v>
      </c>
      <c r="S189" s="149">
        <v>0</v>
      </c>
      <c r="T189" s="150">
        <f>S189*H189</f>
        <v>0</v>
      </c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R189" s="151" t="s">
        <v>127</v>
      </c>
      <c r="AT189" s="151" t="s">
        <v>123</v>
      </c>
      <c r="AU189" s="151" t="s">
        <v>128</v>
      </c>
      <c r="AY189" s="16" t="s">
        <v>121</v>
      </c>
      <c r="BE189" s="152">
        <f>IF(N189="základná",J189,0)</f>
        <v>0</v>
      </c>
      <c r="BF189" s="152">
        <f>IF(N189="znížená",J189,0)</f>
        <v>0</v>
      </c>
      <c r="BG189" s="152">
        <f>IF(N189="zákl. prenesená",J189,0)</f>
        <v>0</v>
      </c>
      <c r="BH189" s="152">
        <f>IF(N189="zníž. prenesená",J189,0)</f>
        <v>0</v>
      </c>
      <c r="BI189" s="152">
        <f>IF(N189="nulová",J189,0)</f>
        <v>0</v>
      </c>
      <c r="BJ189" s="16" t="s">
        <v>128</v>
      </c>
      <c r="BK189" s="153">
        <f>ROUND(I189*H189,3)</f>
        <v>0</v>
      </c>
      <c r="BL189" s="16" t="s">
        <v>127</v>
      </c>
      <c r="BM189" s="151" t="s">
        <v>258</v>
      </c>
    </row>
    <row r="190" spans="1:65" s="2" customFormat="1" ht="24.2" customHeight="1">
      <c r="A190" s="31"/>
      <c r="B190" s="139"/>
      <c r="C190" s="140" t="s">
        <v>180</v>
      </c>
      <c r="D190" s="140" t="s">
        <v>123</v>
      </c>
      <c r="E190" s="141" t="s">
        <v>259</v>
      </c>
      <c r="F190" s="142" t="s">
        <v>260</v>
      </c>
      <c r="G190" s="143" t="s">
        <v>126</v>
      </c>
      <c r="H190" s="144">
        <v>15.75</v>
      </c>
      <c r="I190" s="144"/>
      <c r="J190" s="145">
        <f>ROUND(I190*H190,3)</f>
        <v>0</v>
      </c>
      <c r="K190" s="146"/>
      <c r="L190" s="32"/>
      <c r="M190" s="147" t="s">
        <v>1</v>
      </c>
      <c r="N190" s="148" t="s">
        <v>43</v>
      </c>
      <c r="O190" s="57"/>
      <c r="P190" s="149">
        <f>O190*H190</f>
        <v>0</v>
      </c>
      <c r="Q190" s="149">
        <v>0</v>
      </c>
      <c r="R190" s="149">
        <f>Q190*H190</f>
        <v>0</v>
      </c>
      <c r="S190" s="149">
        <v>0</v>
      </c>
      <c r="T190" s="150">
        <f>S190*H190</f>
        <v>0</v>
      </c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R190" s="151" t="s">
        <v>127</v>
      </c>
      <c r="AT190" s="151" t="s">
        <v>123</v>
      </c>
      <c r="AU190" s="151" t="s">
        <v>128</v>
      </c>
      <c r="AY190" s="16" t="s">
        <v>121</v>
      </c>
      <c r="BE190" s="152">
        <f>IF(N190="základná",J190,0)</f>
        <v>0</v>
      </c>
      <c r="BF190" s="152">
        <f>IF(N190="znížená",J190,0)</f>
        <v>0</v>
      </c>
      <c r="BG190" s="152">
        <f>IF(N190="zákl. prenesená",J190,0)</f>
        <v>0</v>
      </c>
      <c r="BH190" s="152">
        <f>IF(N190="zníž. prenesená",J190,0)</f>
        <v>0</v>
      </c>
      <c r="BI190" s="152">
        <f>IF(N190="nulová",J190,0)</f>
        <v>0</v>
      </c>
      <c r="BJ190" s="16" t="s">
        <v>128</v>
      </c>
      <c r="BK190" s="153">
        <f>ROUND(I190*H190,3)</f>
        <v>0</v>
      </c>
      <c r="BL190" s="16" t="s">
        <v>127</v>
      </c>
      <c r="BM190" s="151" t="s">
        <v>261</v>
      </c>
    </row>
    <row r="191" spans="1:65" s="13" customFormat="1">
      <c r="B191" s="154"/>
      <c r="D191" s="155" t="s">
        <v>138</v>
      </c>
      <c r="E191" s="156" t="s">
        <v>1</v>
      </c>
      <c r="F191" s="157" t="s">
        <v>262</v>
      </c>
      <c r="H191" s="158">
        <v>15.75</v>
      </c>
      <c r="I191" s="159"/>
      <c r="L191" s="154"/>
      <c r="M191" s="160"/>
      <c r="N191" s="161"/>
      <c r="O191" s="161"/>
      <c r="P191" s="161"/>
      <c r="Q191" s="161"/>
      <c r="R191" s="161"/>
      <c r="S191" s="161"/>
      <c r="T191" s="162"/>
      <c r="AT191" s="156" t="s">
        <v>138</v>
      </c>
      <c r="AU191" s="156" t="s">
        <v>128</v>
      </c>
      <c r="AV191" s="13" t="s">
        <v>128</v>
      </c>
      <c r="AW191" s="13" t="s">
        <v>32</v>
      </c>
      <c r="AX191" s="13" t="s">
        <v>85</v>
      </c>
      <c r="AY191" s="156" t="s">
        <v>121</v>
      </c>
    </row>
    <row r="192" spans="1:65" s="2" customFormat="1" ht="24.2" customHeight="1">
      <c r="A192" s="31"/>
      <c r="B192" s="139"/>
      <c r="C192" s="140" t="s">
        <v>263</v>
      </c>
      <c r="D192" s="140" t="s">
        <v>123</v>
      </c>
      <c r="E192" s="141" t="s">
        <v>264</v>
      </c>
      <c r="F192" s="142" t="s">
        <v>265</v>
      </c>
      <c r="G192" s="143" t="s">
        <v>126</v>
      </c>
      <c r="H192" s="144">
        <v>24</v>
      </c>
      <c r="I192" s="144"/>
      <c r="J192" s="145">
        <f>ROUND(I192*H192,3)</f>
        <v>0</v>
      </c>
      <c r="K192" s="146"/>
      <c r="L192" s="32"/>
      <c r="M192" s="147" t="s">
        <v>1</v>
      </c>
      <c r="N192" s="148" t="s">
        <v>43</v>
      </c>
      <c r="O192" s="57"/>
      <c r="P192" s="149">
        <f>O192*H192</f>
        <v>0</v>
      </c>
      <c r="Q192" s="149">
        <v>0</v>
      </c>
      <c r="R192" s="149">
        <f>Q192*H192</f>
        <v>0</v>
      </c>
      <c r="S192" s="149">
        <v>0</v>
      </c>
      <c r="T192" s="150">
        <f>S192*H192</f>
        <v>0</v>
      </c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R192" s="151" t="s">
        <v>127</v>
      </c>
      <c r="AT192" s="151" t="s">
        <v>123</v>
      </c>
      <c r="AU192" s="151" t="s">
        <v>128</v>
      </c>
      <c r="AY192" s="16" t="s">
        <v>121</v>
      </c>
      <c r="BE192" s="152">
        <f>IF(N192="základná",J192,0)</f>
        <v>0</v>
      </c>
      <c r="BF192" s="152">
        <f>IF(N192="znížená",J192,0)</f>
        <v>0</v>
      </c>
      <c r="BG192" s="152">
        <f>IF(N192="zákl. prenesená",J192,0)</f>
        <v>0</v>
      </c>
      <c r="BH192" s="152">
        <f>IF(N192="zníž. prenesená",J192,0)</f>
        <v>0</v>
      </c>
      <c r="BI192" s="152">
        <f>IF(N192="nulová",J192,0)</f>
        <v>0</v>
      </c>
      <c r="BJ192" s="16" t="s">
        <v>128</v>
      </c>
      <c r="BK192" s="153">
        <f>ROUND(I192*H192,3)</f>
        <v>0</v>
      </c>
      <c r="BL192" s="16" t="s">
        <v>127</v>
      </c>
      <c r="BM192" s="151" t="s">
        <v>266</v>
      </c>
    </row>
    <row r="193" spans="1:65" s="2" customFormat="1" ht="14.45" customHeight="1">
      <c r="A193" s="31"/>
      <c r="B193" s="139"/>
      <c r="C193" s="140" t="s">
        <v>267</v>
      </c>
      <c r="D193" s="140" t="s">
        <v>123</v>
      </c>
      <c r="E193" s="141" t="s">
        <v>268</v>
      </c>
      <c r="F193" s="142" t="s">
        <v>269</v>
      </c>
      <c r="G193" s="143" t="s">
        <v>126</v>
      </c>
      <c r="H193" s="144">
        <v>54.37</v>
      </c>
      <c r="I193" s="144"/>
      <c r="J193" s="145">
        <f>ROUND(I193*H193,3)</f>
        <v>0</v>
      </c>
      <c r="K193" s="146"/>
      <c r="L193" s="32"/>
      <c r="M193" s="147" t="s">
        <v>1</v>
      </c>
      <c r="N193" s="148" t="s">
        <v>43</v>
      </c>
      <c r="O193" s="57"/>
      <c r="P193" s="149">
        <f>O193*H193</f>
        <v>0</v>
      </c>
      <c r="Q193" s="149">
        <v>0</v>
      </c>
      <c r="R193" s="149">
        <f>Q193*H193</f>
        <v>0</v>
      </c>
      <c r="S193" s="149">
        <v>0</v>
      </c>
      <c r="T193" s="150">
        <f>S193*H193</f>
        <v>0</v>
      </c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R193" s="151" t="s">
        <v>127</v>
      </c>
      <c r="AT193" s="151" t="s">
        <v>123</v>
      </c>
      <c r="AU193" s="151" t="s">
        <v>128</v>
      </c>
      <c r="AY193" s="16" t="s">
        <v>121</v>
      </c>
      <c r="BE193" s="152">
        <f>IF(N193="základná",J193,0)</f>
        <v>0</v>
      </c>
      <c r="BF193" s="152">
        <f>IF(N193="znížená",J193,0)</f>
        <v>0</v>
      </c>
      <c r="BG193" s="152">
        <f>IF(N193="zákl. prenesená",J193,0)</f>
        <v>0</v>
      </c>
      <c r="BH193" s="152">
        <f>IF(N193="zníž. prenesená",J193,0)</f>
        <v>0</v>
      </c>
      <c r="BI193" s="152">
        <f>IF(N193="nulová",J193,0)</f>
        <v>0</v>
      </c>
      <c r="BJ193" s="16" t="s">
        <v>128</v>
      </c>
      <c r="BK193" s="153">
        <f>ROUND(I193*H193,3)</f>
        <v>0</v>
      </c>
      <c r="BL193" s="16" t="s">
        <v>127</v>
      </c>
      <c r="BM193" s="151" t="s">
        <v>270</v>
      </c>
    </row>
    <row r="194" spans="1:65" s="13" customFormat="1">
      <c r="B194" s="154"/>
      <c r="D194" s="155" t="s">
        <v>138</v>
      </c>
      <c r="E194" s="156" t="s">
        <v>1</v>
      </c>
      <c r="F194" s="157" t="s">
        <v>271</v>
      </c>
      <c r="H194" s="158">
        <v>3.22</v>
      </c>
      <c r="I194" s="159"/>
      <c r="L194" s="154"/>
      <c r="M194" s="160"/>
      <c r="N194" s="161"/>
      <c r="O194" s="161"/>
      <c r="P194" s="161"/>
      <c r="Q194" s="161"/>
      <c r="R194" s="161"/>
      <c r="S194" s="161"/>
      <c r="T194" s="162"/>
      <c r="AT194" s="156" t="s">
        <v>138</v>
      </c>
      <c r="AU194" s="156" t="s">
        <v>128</v>
      </c>
      <c r="AV194" s="13" t="s">
        <v>128</v>
      </c>
      <c r="AW194" s="13" t="s">
        <v>32</v>
      </c>
      <c r="AX194" s="13" t="s">
        <v>77</v>
      </c>
      <c r="AY194" s="156" t="s">
        <v>121</v>
      </c>
    </row>
    <row r="195" spans="1:65" s="13" customFormat="1">
      <c r="B195" s="154"/>
      <c r="D195" s="155" t="s">
        <v>138</v>
      </c>
      <c r="E195" s="156" t="s">
        <v>1</v>
      </c>
      <c r="F195" s="157" t="s">
        <v>272</v>
      </c>
      <c r="H195" s="158">
        <v>11.7</v>
      </c>
      <c r="I195" s="159"/>
      <c r="L195" s="154"/>
      <c r="M195" s="160"/>
      <c r="N195" s="161"/>
      <c r="O195" s="161"/>
      <c r="P195" s="161"/>
      <c r="Q195" s="161"/>
      <c r="R195" s="161"/>
      <c r="S195" s="161"/>
      <c r="T195" s="162"/>
      <c r="AT195" s="156" t="s">
        <v>138</v>
      </c>
      <c r="AU195" s="156" t="s">
        <v>128</v>
      </c>
      <c r="AV195" s="13" t="s">
        <v>128</v>
      </c>
      <c r="AW195" s="13" t="s">
        <v>32</v>
      </c>
      <c r="AX195" s="13" t="s">
        <v>77</v>
      </c>
      <c r="AY195" s="156" t="s">
        <v>121</v>
      </c>
    </row>
    <row r="196" spans="1:65" s="13" customFormat="1">
      <c r="B196" s="154"/>
      <c r="D196" s="155" t="s">
        <v>138</v>
      </c>
      <c r="E196" s="156" t="s">
        <v>1</v>
      </c>
      <c r="F196" s="157" t="s">
        <v>273</v>
      </c>
      <c r="H196" s="158">
        <v>9.4499999999999993</v>
      </c>
      <c r="I196" s="159"/>
      <c r="L196" s="154"/>
      <c r="M196" s="160"/>
      <c r="N196" s="161"/>
      <c r="O196" s="161"/>
      <c r="P196" s="161"/>
      <c r="Q196" s="161"/>
      <c r="R196" s="161"/>
      <c r="S196" s="161"/>
      <c r="T196" s="162"/>
      <c r="AT196" s="156" t="s">
        <v>138</v>
      </c>
      <c r="AU196" s="156" t="s">
        <v>128</v>
      </c>
      <c r="AV196" s="13" t="s">
        <v>128</v>
      </c>
      <c r="AW196" s="13" t="s">
        <v>32</v>
      </c>
      <c r="AX196" s="13" t="s">
        <v>77</v>
      </c>
      <c r="AY196" s="156" t="s">
        <v>121</v>
      </c>
    </row>
    <row r="197" spans="1:65" s="14" customFormat="1">
      <c r="B197" s="163"/>
      <c r="D197" s="155" t="s">
        <v>138</v>
      </c>
      <c r="E197" s="164" t="s">
        <v>1</v>
      </c>
      <c r="F197" s="165" t="s">
        <v>141</v>
      </c>
      <c r="H197" s="166">
        <v>24.37</v>
      </c>
      <c r="I197" s="167"/>
      <c r="L197" s="163"/>
      <c r="M197" s="168"/>
      <c r="N197" s="169"/>
      <c r="O197" s="169"/>
      <c r="P197" s="169"/>
      <c r="Q197" s="169"/>
      <c r="R197" s="169"/>
      <c r="S197" s="169"/>
      <c r="T197" s="170"/>
      <c r="AT197" s="164" t="s">
        <v>138</v>
      </c>
      <c r="AU197" s="164" t="s">
        <v>128</v>
      </c>
      <c r="AV197" s="14" t="s">
        <v>127</v>
      </c>
      <c r="AW197" s="14" t="s">
        <v>32</v>
      </c>
      <c r="AX197" s="14" t="s">
        <v>85</v>
      </c>
      <c r="AY197" s="164" t="s">
        <v>121</v>
      </c>
    </row>
    <row r="198" spans="1:65" s="2" customFormat="1" ht="14.45" customHeight="1">
      <c r="A198" s="31"/>
      <c r="B198" s="139"/>
      <c r="C198" s="140" t="s">
        <v>274</v>
      </c>
      <c r="D198" s="140" t="s">
        <v>123</v>
      </c>
      <c r="E198" s="141" t="s">
        <v>275</v>
      </c>
      <c r="F198" s="142" t="s">
        <v>276</v>
      </c>
      <c r="G198" s="143" t="s">
        <v>126</v>
      </c>
      <c r="H198" s="144">
        <v>54.37</v>
      </c>
      <c r="I198" s="144"/>
      <c r="J198" s="145">
        <f>ROUND(I198*H198,3)</f>
        <v>0</v>
      </c>
      <c r="K198" s="146"/>
      <c r="L198" s="32"/>
      <c r="M198" s="147" t="s">
        <v>1</v>
      </c>
      <c r="N198" s="148" t="s">
        <v>43</v>
      </c>
      <c r="O198" s="57"/>
      <c r="P198" s="149">
        <f>O198*H198</f>
        <v>0</v>
      </c>
      <c r="Q198" s="149">
        <v>0</v>
      </c>
      <c r="R198" s="149">
        <f>Q198*H198</f>
        <v>0</v>
      </c>
      <c r="S198" s="149">
        <v>0</v>
      </c>
      <c r="T198" s="150">
        <f>S198*H198</f>
        <v>0</v>
      </c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R198" s="151" t="s">
        <v>127</v>
      </c>
      <c r="AT198" s="151" t="s">
        <v>123</v>
      </c>
      <c r="AU198" s="151" t="s">
        <v>128</v>
      </c>
      <c r="AY198" s="16" t="s">
        <v>121</v>
      </c>
      <c r="BE198" s="152">
        <f>IF(N198="základná",J198,0)</f>
        <v>0</v>
      </c>
      <c r="BF198" s="152">
        <f>IF(N198="znížená",J198,0)</f>
        <v>0</v>
      </c>
      <c r="BG198" s="152">
        <f>IF(N198="zákl. prenesená",J198,0)</f>
        <v>0</v>
      </c>
      <c r="BH198" s="152">
        <f>IF(N198="zníž. prenesená",J198,0)</f>
        <v>0</v>
      </c>
      <c r="BI198" s="152">
        <f>IF(N198="nulová",J198,0)</f>
        <v>0</v>
      </c>
      <c r="BJ198" s="16" t="s">
        <v>128</v>
      </c>
      <c r="BK198" s="153">
        <f>ROUND(I198*H198,3)</f>
        <v>0</v>
      </c>
      <c r="BL198" s="16" t="s">
        <v>127</v>
      </c>
      <c r="BM198" s="151" t="s">
        <v>277</v>
      </c>
    </row>
    <row r="199" spans="1:65" s="13" customFormat="1">
      <c r="B199" s="154"/>
      <c r="D199" s="155" t="s">
        <v>138</v>
      </c>
      <c r="E199" s="156" t="s">
        <v>1</v>
      </c>
      <c r="F199" s="157" t="s">
        <v>271</v>
      </c>
      <c r="H199" s="158">
        <v>3.22</v>
      </c>
      <c r="I199" s="159"/>
      <c r="L199" s="154"/>
      <c r="M199" s="160"/>
      <c r="N199" s="161"/>
      <c r="O199" s="161"/>
      <c r="P199" s="161"/>
      <c r="Q199" s="161"/>
      <c r="R199" s="161"/>
      <c r="S199" s="161"/>
      <c r="T199" s="162"/>
      <c r="AT199" s="156" t="s">
        <v>138</v>
      </c>
      <c r="AU199" s="156" t="s">
        <v>128</v>
      </c>
      <c r="AV199" s="13" t="s">
        <v>128</v>
      </c>
      <c r="AW199" s="13" t="s">
        <v>32</v>
      </c>
      <c r="AX199" s="13" t="s">
        <v>77</v>
      </c>
      <c r="AY199" s="156" t="s">
        <v>121</v>
      </c>
    </row>
    <row r="200" spans="1:65" s="13" customFormat="1">
      <c r="B200" s="154"/>
      <c r="D200" s="155" t="s">
        <v>138</v>
      </c>
      <c r="E200" s="156" t="s">
        <v>1</v>
      </c>
      <c r="F200" s="157" t="s">
        <v>272</v>
      </c>
      <c r="H200" s="158">
        <v>11.7</v>
      </c>
      <c r="I200" s="159"/>
      <c r="L200" s="154"/>
      <c r="M200" s="160"/>
      <c r="N200" s="161"/>
      <c r="O200" s="161"/>
      <c r="P200" s="161"/>
      <c r="Q200" s="161"/>
      <c r="R200" s="161"/>
      <c r="S200" s="161"/>
      <c r="T200" s="162"/>
      <c r="AT200" s="156" t="s">
        <v>138</v>
      </c>
      <c r="AU200" s="156" t="s">
        <v>128</v>
      </c>
      <c r="AV200" s="13" t="s">
        <v>128</v>
      </c>
      <c r="AW200" s="13" t="s">
        <v>32</v>
      </c>
      <c r="AX200" s="13" t="s">
        <v>77</v>
      </c>
      <c r="AY200" s="156" t="s">
        <v>121</v>
      </c>
    </row>
    <row r="201" spans="1:65" s="13" customFormat="1">
      <c r="B201" s="154"/>
      <c r="D201" s="155" t="s">
        <v>138</v>
      </c>
      <c r="E201" s="156" t="s">
        <v>1</v>
      </c>
      <c r="F201" s="157" t="s">
        <v>278</v>
      </c>
      <c r="H201" s="158">
        <v>9.4499999999999993</v>
      </c>
      <c r="I201" s="159"/>
      <c r="L201" s="154"/>
      <c r="M201" s="160"/>
      <c r="N201" s="161"/>
      <c r="O201" s="161"/>
      <c r="P201" s="161"/>
      <c r="Q201" s="161"/>
      <c r="R201" s="161"/>
      <c r="S201" s="161"/>
      <c r="T201" s="162"/>
      <c r="AT201" s="156" t="s">
        <v>138</v>
      </c>
      <c r="AU201" s="156" t="s">
        <v>128</v>
      </c>
      <c r="AV201" s="13" t="s">
        <v>128</v>
      </c>
      <c r="AW201" s="13" t="s">
        <v>32</v>
      </c>
      <c r="AX201" s="13" t="s">
        <v>77</v>
      </c>
      <c r="AY201" s="156" t="s">
        <v>121</v>
      </c>
    </row>
    <row r="202" spans="1:65" s="14" customFormat="1">
      <c r="B202" s="163"/>
      <c r="D202" s="155" t="s">
        <v>138</v>
      </c>
      <c r="E202" s="164" t="s">
        <v>1</v>
      </c>
      <c r="F202" s="165" t="s">
        <v>141</v>
      </c>
      <c r="H202" s="166">
        <v>24.37</v>
      </c>
      <c r="I202" s="167"/>
      <c r="L202" s="163"/>
      <c r="M202" s="168"/>
      <c r="N202" s="169"/>
      <c r="O202" s="169"/>
      <c r="P202" s="169"/>
      <c r="Q202" s="169"/>
      <c r="R202" s="169"/>
      <c r="S202" s="169"/>
      <c r="T202" s="170"/>
      <c r="AT202" s="164" t="s">
        <v>138</v>
      </c>
      <c r="AU202" s="164" t="s">
        <v>128</v>
      </c>
      <c r="AV202" s="14" t="s">
        <v>127</v>
      </c>
      <c r="AW202" s="14" t="s">
        <v>32</v>
      </c>
      <c r="AX202" s="14" t="s">
        <v>85</v>
      </c>
      <c r="AY202" s="164" t="s">
        <v>121</v>
      </c>
    </row>
    <row r="203" spans="1:65" s="2" customFormat="1" ht="24.2" customHeight="1">
      <c r="A203" s="31"/>
      <c r="B203" s="139"/>
      <c r="C203" s="171" t="s">
        <v>194</v>
      </c>
      <c r="D203" s="171" t="s">
        <v>191</v>
      </c>
      <c r="E203" s="172" t="s">
        <v>279</v>
      </c>
      <c r="F203" s="173" t="s">
        <v>280</v>
      </c>
      <c r="G203" s="174" t="s">
        <v>281</v>
      </c>
      <c r="H203" s="175">
        <v>29.48</v>
      </c>
      <c r="I203" s="175"/>
      <c r="J203" s="176">
        <f>ROUND(I203*H203,3)</f>
        <v>0</v>
      </c>
      <c r="K203" s="177"/>
      <c r="L203" s="178"/>
      <c r="M203" s="179" t="s">
        <v>1</v>
      </c>
      <c r="N203" s="180" t="s">
        <v>43</v>
      </c>
      <c r="O203" s="57"/>
      <c r="P203" s="149">
        <f>O203*H203</f>
        <v>0</v>
      </c>
      <c r="Q203" s="149">
        <v>0</v>
      </c>
      <c r="R203" s="149">
        <f>Q203*H203</f>
        <v>0</v>
      </c>
      <c r="S203" s="149">
        <v>0</v>
      </c>
      <c r="T203" s="150">
        <f>S203*H203</f>
        <v>0</v>
      </c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R203" s="151" t="s">
        <v>132</v>
      </c>
      <c r="AT203" s="151" t="s">
        <v>191</v>
      </c>
      <c r="AU203" s="151" t="s">
        <v>128</v>
      </c>
      <c r="AY203" s="16" t="s">
        <v>121</v>
      </c>
      <c r="BE203" s="152">
        <f>IF(N203="základná",J203,0)</f>
        <v>0</v>
      </c>
      <c r="BF203" s="152">
        <f>IF(N203="znížená",J203,0)</f>
        <v>0</v>
      </c>
      <c r="BG203" s="152">
        <f>IF(N203="zákl. prenesená",J203,0)</f>
        <v>0</v>
      </c>
      <c r="BH203" s="152">
        <f>IF(N203="zníž. prenesená",J203,0)</f>
        <v>0</v>
      </c>
      <c r="BI203" s="152">
        <f>IF(N203="nulová",J203,0)</f>
        <v>0</v>
      </c>
      <c r="BJ203" s="16" t="s">
        <v>128</v>
      </c>
      <c r="BK203" s="153">
        <f>ROUND(I203*H203,3)</f>
        <v>0</v>
      </c>
      <c r="BL203" s="16" t="s">
        <v>127</v>
      </c>
      <c r="BM203" s="151" t="s">
        <v>282</v>
      </c>
    </row>
    <row r="204" spans="1:65" s="2" customFormat="1" ht="24.2" customHeight="1">
      <c r="A204" s="31"/>
      <c r="B204" s="139"/>
      <c r="C204" s="140" t="s">
        <v>283</v>
      </c>
      <c r="D204" s="140" t="s">
        <v>123</v>
      </c>
      <c r="E204" s="141" t="s">
        <v>284</v>
      </c>
      <c r="F204" s="142" t="s">
        <v>285</v>
      </c>
      <c r="G204" s="143" t="s">
        <v>126</v>
      </c>
      <c r="H204" s="144">
        <v>15.75</v>
      </c>
      <c r="I204" s="144"/>
      <c r="J204" s="145">
        <f>ROUND(I204*H204,3)</f>
        <v>0</v>
      </c>
      <c r="K204" s="146"/>
      <c r="L204" s="32"/>
      <c r="M204" s="147" t="s">
        <v>1</v>
      </c>
      <c r="N204" s="148" t="s">
        <v>43</v>
      </c>
      <c r="O204" s="57"/>
      <c r="P204" s="149">
        <f>O204*H204</f>
        <v>0</v>
      </c>
      <c r="Q204" s="149">
        <v>5.6610000000000001E-2</v>
      </c>
      <c r="R204" s="149">
        <f>Q204*H204</f>
        <v>0.8916075</v>
      </c>
      <c r="S204" s="149">
        <v>0</v>
      </c>
      <c r="T204" s="150">
        <f>S204*H204</f>
        <v>0</v>
      </c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R204" s="151" t="s">
        <v>127</v>
      </c>
      <c r="AT204" s="151" t="s">
        <v>123</v>
      </c>
      <c r="AU204" s="151" t="s">
        <v>128</v>
      </c>
      <c r="AY204" s="16" t="s">
        <v>121</v>
      </c>
      <c r="BE204" s="152">
        <f>IF(N204="základná",J204,0)</f>
        <v>0</v>
      </c>
      <c r="BF204" s="152">
        <f>IF(N204="znížená",J204,0)</f>
        <v>0</v>
      </c>
      <c r="BG204" s="152">
        <f>IF(N204="zákl. prenesená",J204,0)</f>
        <v>0</v>
      </c>
      <c r="BH204" s="152">
        <f>IF(N204="zníž. prenesená",J204,0)</f>
        <v>0</v>
      </c>
      <c r="BI204" s="152">
        <f>IF(N204="nulová",J204,0)</f>
        <v>0</v>
      </c>
      <c r="BJ204" s="16" t="s">
        <v>128</v>
      </c>
      <c r="BK204" s="153">
        <f>ROUND(I204*H204,3)</f>
        <v>0</v>
      </c>
      <c r="BL204" s="16" t="s">
        <v>127</v>
      </c>
      <c r="BM204" s="151" t="s">
        <v>286</v>
      </c>
    </row>
    <row r="205" spans="1:65" s="13" customFormat="1">
      <c r="B205" s="154"/>
      <c r="D205" s="155" t="s">
        <v>138</v>
      </c>
      <c r="E205" s="156" t="s">
        <v>1</v>
      </c>
      <c r="F205" s="157" t="s">
        <v>287</v>
      </c>
      <c r="H205" s="158">
        <v>15.75</v>
      </c>
      <c r="I205" s="159"/>
      <c r="L205" s="154"/>
      <c r="M205" s="160"/>
      <c r="N205" s="161"/>
      <c r="O205" s="161"/>
      <c r="P205" s="161"/>
      <c r="Q205" s="161"/>
      <c r="R205" s="161"/>
      <c r="S205" s="161"/>
      <c r="T205" s="162"/>
      <c r="AT205" s="156" t="s">
        <v>138</v>
      </c>
      <c r="AU205" s="156" t="s">
        <v>128</v>
      </c>
      <c r="AV205" s="13" t="s">
        <v>128</v>
      </c>
      <c r="AW205" s="13" t="s">
        <v>32</v>
      </c>
      <c r="AX205" s="13" t="s">
        <v>85</v>
      </c>
      <c r="AY205" s="156" t="s">
        <v>121</v>
      </c>
    </row>
    <row r="206" spans="1:65" s="2" customFormat="1" ht="14.45" customHeight="1">
      <c r="A206" s="31"/>
      <c r="B206" s="139"/>
      <c r="C206" s="140" t="s">
        <v>198</v>
      </c>
      <c r="D206" s="140" t="s">
        <v>123</v>
      </c>
      <c r="E206" s="141" t="s">
        <v>288</v>
      </c>
      <c r="F206" s="142" t="s">
        <v>289</v>
      </c>
      <c r="G206" s="143" t="s">
        <v>126</v>
      </c>
      <c r="H206" s="144">
        <v>24.22</v>
      </c>
      <c r="I206" s="144"/>
      <c r="J206" s="145">
        <f>ROUND(I206*H206,3)</f>
        <v>0</v>
      </c>
      <c r="K206" s="146"/>
      <c r="L206" s="32"/>
      <c r="M206" s="147" t="s">
        <v>1</v>
      </c>
      <c r="N206" s="148" t="s">
        <v>43</v>
      </c>
      <c r="O206" s="57"/>
      <c r="P206" s="149">
        <f>O206*H206</f>
        <v>0</v>
      </c>
      <c r="Q206" s="149">
        <v>0</v>
      </c>
      <c r="R206" s="149">
        <f>Q206*H206</f>
        <v>0</v>
      </c>
      <c r="S206" s="149">
        <v>0</v>
      </c>
      <c r="T206" s="150">
        <f>S206*H206</f>
        <v>0</v>
      </c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R206" s="151" t="s">
        <v>127</v>
      </c>
      <c r="AT206" s="151" t="s">
        <v>123</v>
      </c>
      <c r="AU206" s="151" t="s">
        <v>128</v>
      </c>
      <c r="AY206" s="16" t="s">
        <v>121</v>
      </c>
      <c r="BE206" s="152">
        <f>IF(N206="základná",J206,0)</f>
        <v>0</v>
      </c>
      <c r="BF206" s="152">
        <f>IF(N206="znížená",J206,0)</f>
        <v>0</v>
      </c>
      <c r="BG206" s="152">
        <f>IF(N206="zákl. prenesená",J206,0)</f>
        <v>0</v>
      </c>
      <c r="BH206" s="152">
        <f>IF(N206="zníž. prenesená",J206,0)</f>
        <v>0</v>
      </c>
      <c r="BI206" s="152">
        <f>IF(N206="nulová",J206,0)</f>
        <v>0</v>
      </c>
      <c r="BJ206" s="16" t="s">
        <v>128</v>
      </c>
      <c r="BK206" s="153">
        <f>ROUND(I206*H206,3)</f>
        <v>0</v>
      </c>
      <c r="BL206" s="16" t="s">
        <v>127</v>
      </c>
      <c r="BM206" s="151" t="s">
        <v>290</v>
      </c>
    </row>
    <row r="207" spans="1:65" s="13" customFormat="1">
      <c r="B207" s="154"/>
      <c r="D207" s="155" t="s">
        <v>138</v>
      </c>
      <c r="E207" s="156" t="s">
        <v>1</v>
      </c>
      <c r="F207" s="157" t="s">
        <v>291</v>
      </c>
      <c r="H207" s="158">
        <v>3.22</v>
      </c>
      <c r="I207" s="159"/>
      <c r="L207" s="154"/>
      <c r="M207" s="160"/>
      <c r="N207" s="161"/>
      <c r="O207" s="161"/>
      <c r="P207" s="161"/>
      <c r="Q207" s="161"/>
      <c r="R207" s="161"/>
      <c r="S207" s="161"/>
      <c r="T207" s="162"/>
      <c r="AT207" s="156" t="s">
        <v>138</v>
      </c>
      <c r="AU207" s="156" t="s">
        <v>128</v>
      </c>
      <c r="AV207" s="13" t="s">
        <v>128</v>
      </c>
      <c r="AW207" s="13" t="s">
        <v>32</v>
      </c>
      <c r="AX207" s="13" t="s">
        <v>85</v>
      </c>
      <c r="AY207" s="156" t="s">
        <v>121</v>
      </c>
    </row>
    <row r="208" spans="1:65" s="2" customFormat="1" ht="24.2" customHeight="1">
      <c r="A208" s="31"/>
      <c r="B208" s="139"/>
      <c r="C208" s="140" t="s">
        <v>292</v>
      </c>
      <c r="D208" s="140" t="s">
        <v>123</v>
      </c>
      <c r="E208" s="141" t="s">
        <v>293</v>
      </c>
      <c r="F208" s="142" t="s">
        <v>294</v>
      </c>
      <c r="G208" s="143" t="s">
        <v>126</v>
      </c>
      <c r="H208" s="144">
        <v>44.92</v>
      </c>
      <c r="I208" s="144"/>
      <c r="J208" s="145">
        <f>ROUND(I208*H208,3)</f>
        <v>0</v>
      </c>
      <c r="K208" s="146"/>
      <c r="L208" s="32"/>
      <c r="M208" s="147" t="s">
        <v>1</v>
      </c>
      <c r="N208" s="148" t="s">
        <v>43</v>
      </c>
      <c r="O208" s="57"/>
      <c r="P208" s="149">
        <f>O208*H208</f>
        <v>0</v>
      </c>
      <c r="Q208" s="149">
        <v>0</v>
      </c>
      <c r="R208" s="149">
        <f>Q208*H208</f>
        <v>0</v>
      </c>
      <c r="S208" s="149">
        <v>0</v>
      </c>
      <c r="T208" s="150">
        <f>S208*H208</f>
        <v>0</v>
      </c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R208" s="151" t="s">
        <v>127</v>
      </c>
      <c r="AT208" s="151" t="s">
        <v>123</v>
      </c>
      <c r="AU208" s="151" t="s">
        <v>128</v>
      </c>
      <c r="AY208" s="16" t="s">
        <v>121</v>
      </c>
      <c r="BE208" s="152">
        <f>IF(N208="základná",J208,0)</f>
        <v>0</v>
      </c>
      <c r="BF208" s="152">
        <f>IF(N208="znížená",J208,0)</f>
        <v>0</v>
      </c>
      <c r="BG208" s="152">
        <f>IF(N208="zákl. prenesená",J208,0)</f>
        <v>0</v>
      </c>
      <c r="BH208" s="152">
        <f>IF(N208="zníž. prenesená",J208,0)</f>
        <v>0</v>
      </c>
      <c r="BI208" s="152">
        <f>IF(N208="nulová",J208,0)</f>
        <v>0</v>
      </c>
      <c r="BJ208" s="16" t="s">
        <v>128</v>
      </c>
      <c r="BK208" s="153">
        <f>ROUND(I208*H208,3)</f>
        <v>0</v>
      </c>
      <c r="BL208" s="16" t="s">
        <v>127</v>
      </c>
      <c r="BM208" s="151" t="s">
        <v>295</v>
      </c>
    </row>
    <row r="209" spans="1:65" s="13" customFormat="1">
      <c r="B209" s="154"/>
      <c r="D209" s="155" t="s">
        <v>138</v>
      </c>
      <c r="E209" s="156" t="s">
        <v>1</v>
      </c>
      <c r="F209" s="157" t="s">
        <v>296</v>
      </c>
      <c r="H209" s="158">
        <v>11.44</v>
      </c>
      <c r="I209" s="159"/>
      <c r="L209" s="154"/>
      <c r="M209" s="160"/>
      <c r="N209" s="161"/>
      <c r="O209" s="161"/>
      <c r="P209" s="161"/>
      <c r="Q209" s="161"/>
      <c r="R209" s="161"/>
      <c r="S209" s="161"/>
      <c r="T209" s="162"/>
      <c r="AT209" s="156" t="s">
        <v>138</v>
      </c>
      <c r="AU209" s="156" t="s">
        <v>128</v>
      </c>
      <c r="AV209" s="13" t="s">
        <v>128</v>
      </c>
      <c r="AW209" s="13" t="s">
        <v>32</v>
      </c>
      <c r="AX209" s="13" t="s">
        <v>85</v>
      </c>
      <c r="AY209" s="156" t="s">
        <v>121</v>
      </c>
    </row>
    <row r="210" spans="1:65" s="2" customFormat="1" ht="14.45" customHeight="1">
      <c r="A210" s="31"/>
      <c r="B210" s="139"/>
      <c r="C210" s="140" t="s">
        <v>202</v>
      </c>
      <c r="D210" s="140" t="s">
        <v>123</v>
      </c>
      <c r="E210" s="141" t="s">
        <v>297</v>
      </c>
      <c r="F210" s="142" t="s">
        <v>298</v>
      </c>
      <c r="G210" s="143" t="s">
        <v>148</v>
      </c>
      <c r="H210" s="144">
        <v>20</v>
      </c>
      <c r="I210" s="144"/>
      <c r="J210" s="145">
        <f>ROUND(I210*H210,3)</f>
        <v>0</v>
      </c>
      <c r="K210" s="146"/>
      <c r="L210" s="32"/>
      <c r="M210" s="147" t="s">
        <v>1</v>
      </c>
      <c r="N210" s="148" t="s">
        <v>43</v>
      </c>
      <c r="O210" s="57"/>
      <c r="P210" s="149">
        <f>O210*H210</f>
        <v>0</v>
      </c>
      <c r="Q210" s="149">
        <v>0</v>
      </c>
      <c r="R210" s="149">
        <f>Q210*H210</f>
        <v>0</v>
      </c>
      <c r="S210" s="149">
        <v>0</v>
      </c>
      <c r="T210" s="150">
        <f>S210*H210</f>
        <v>0</v>
      </c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R210" s="151" t="s">
        <v>127</v>
      </c>
      <c r="AT210" s="151" t="s">
        <v>123</v>
      </c>
      <c r="AU210" s="151" t="s">
        <v>128</v>
      </c>
      <c r="AY210" s="16" t="s">
        <v>121</v>
      </c>
      <c r="BE210" s="152">
        <f>IF(N210="základná",J210,0)</f>
        <v>0</v>
      </c>
      <c r="BF210" s="152">
        <f>IF(N210="znížená",J210,0)</f>
        <v>0</v>
      </c>
      <c r="BG210" s="152">
        <f>IF(N210="zákl. prenesená",J210,0)</f>
        <v>0</v>
      </c>
      <c r="BH210" s="152">
        <f>IF(N210="zníž. prenesená",J210,0)</f>
        <v>0</v>
      </c>
      <c r="BI210" s="152">
        <f>IF(N210="nulová",J210,0)</f>
        <v>0</v>
      </c>
      <c r="BJ210" s="16" t="s">
        <v>128</v>
      </c>
      <c r="BK210" s="153">
        <f>ROUND(I210*H210,3)</f>
        <v>0</v>
      </c>
      <c r="BL210" s="16" t="s">
        <v>127</v>
      </c>
      <c r="BM210" s="151" t="s">
        <v>299</v>
      </c>
    </row>
    <row r="211" spans="1:65" s="2" customFormat="1" ht="24.2" customHeight="1">
      <c r="A211" s="31"/>
      <c r="B211" s="139"/>
      <c r="C211" s="140" t="s">
        <v>300</v>
      </c>
      <c r="D211" s="140" t="s">
        <v>123</v>
      </c>
      <c r="E211" s="141" t="s">
        <v>301</v>
      </c>
      <c r="F211" s="142" t="s">
        <v>302</v>
      </c>
      <c r="G211" s="143" t="s">
        <v>136</v>
      </c>
      <c r="H211" s="144">
        <v>1.6439999999999999</v>
      </c>
      <c r="I211" s="144"/>
      <c r="J211" s="145">
        <f>ROUND(I211*H211,3)</f>
        <v>0</v>
      </c>
      <c r="K211" s="146"/>
      <c r="L211" s="32"/>
      <c r="M211" s="147" t="s">
        <v>1</v>
      </c>
      <c r="N211" s="148" t="s">
        <v>43</v>
      </c>
      <c r="O211" s="57"/>
      <c r="P211" s="149">
        <f>O211*H211</f>
        <v>0</v>
      </c>
      <c r="Q211" s="149">
        <v>0</v>
      </c>
      <c r="R211" s="149">
        <f>Q211*H211</f>
        <v>0</v>
      </c>
      <c r="S211" s="149">
        <v>2.4</v>
      </c>
      <c r="T211" s="150">
        <f>S211*H211</f>
        <v>3.9455999999999998</v>
      </c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R211" s="151" t="s">
        <v>127</v>
      </c>
      <c r="AT211" s="151" t="s">
        <v>123</v>
      </c>
      <c r="AU211" s="151" t="s">
        <v>128</v>
      </c>
      <c r="AY211" s="16" t="s">
        <v>121</v>
      </c>
      <c r="BE211" s="152">
        <f>IF(N211="základná",J211,0)</f>
        <v>0</v>
      </c>
      <c r="BF211" s="152">
        <f>IF(N211="znížená",J211,0)</f>
        <v>0</v>
      </c>
      <c r="BG211" s="152">
        <f>IF(N211="zákl. prenesená",J211,0)</f>
        <v>0</v>
      </c>
      <c r="BH211" s="152">
        <f>IF(N211="zníž. prenesená",J211,0)</f>
        <v>0</v>
      </c>
      <c r="BI211" s="152">
        <f>IF(N211="nulová",J211,0)</f>
        <v>0</v>
      </c>
      <c r="BJ211" s="16" t="s">
        <v>128</v>
      </c>
      <c r="BK211" s="153">
        <f>ROUND(I211*H211,3)</f>
        <v>0</v>
      </c>
      <c r="BL211" s="16" t="s">
        <v>127</v>
      </c>
      <c r="BM211" s="151" t="s">
        <v>303</v>
      </c>
    </row>
    <row r="212" spans="1:65" s="13" customFormat="1">
      <c r="B212" s="154"/>
      <c r="D212" s="155" t="s">
        <v>138</v>
      </c>
      <c r="E212" s="156" t="s">
        <v>1</v>
      </c>
      <c r="F212" s="157" t="s">
        <v>304</v>
      </c>
      <c r="H212" s="158">
        <v>1.3440000000000001</v>
      </c>
      <c r="I212" s="159"/>
      <c r="L212" s="154"/>
      <c r="M212" s="160"/>
      <c r="N212" s="161"/>
      <c r="O212" s="161"/>
      <c r="P212" s="161"/>
      <c r="Q212" s="161"/>
      <c r="R212" s="161"/>
      <c r="S212" s="161"/>
      <c r="T212" s="162"/>
      <c r="AT212" s="156" t="s">
        <v>138</v>
      </c>
      <c r="AU212" s="156" t="s">
        <v>128</v>
      </c>
      <c r="AV212" s="13" t="s">
        <v>128</v>
      </c>
      <c r="AW212" s="13" t="s">
        <v>32</v>
      </c>
      <c r="AX212" s="13" t="s">
        <v>77</v>
      </c>
      <c r="AY212" s="156" t="s">
        <v>121</v>
      </c>
    </row>
    <row r="213" spans="1:65" s="13" customFormat="1">
      <c r="B213" s="154"/>
      <c r="D213" s="155" t="s">
        <v>138</v>
      </c>
      <c r="E213" s="156" t="s">
        <v>1</v>
      </c>
      <c r="F213" s="157" t="s">
        <v>305</v>
      </c>
      <c r="H213" s="158">
        <v>0.3</v>
      </c>
      <c r="I213" s="159"/>
      <c r="L213" s="154"/>
      <c r="M213" s="160"/>
      <c r="N213" s="161"/>
      <c r="O213" s="161"/>
      <c r="P213" s="161"/>
      <c r="Q213" s="161"/>
      <c r="R213" s="161"/>
      <c r="S213" s="161"/>
      <c r="T213" s="162"/>
      <c r="AT213" s="156" t="s">
        <v>138</v>
      </c>
      <c r="AU213" s="156" t="s">
        <v>128</v>
      </c>
      <c r="AV213" s="13" t="s">
        <v>128</v>
      </c>
      <c r="AW213" s="13" t="s">
        <v>32</v>
      </c>
      <c r="AX213" s="13" t="s">
        <v>77</v>
      </c>
      <c r="AY213" s="156" t="s">
        <v>121</v>
      </c>
    </row>
    <row r="214" spans="1:65" s="14" customFormat="1">
      <c r="B214" s="163"/>
      <c r="D214" s="155" t="s">
        <v>138</v>
      </c>
      <c r="E214" s="164" t="s">
        <v>1</v>
      </c>
      <c r="F214" s="165" t="s">
        <v>141</v>
      </c>
      <c r="H214" s="166">
        <v>1.6439999999999999</v>
      </c>
      <c r="I214" s="167"/>
      <c r="L214" s="163"/>
      <c r="M214" s="168"/>
      <c r="N214" s="169"/>
      <c r="O214" s="169"/>
      <c r="P214" s="169"/>
      <c r="Q214" s="169"/>
      <c r="R214" s="169"/>
      <c r="S214" s="169"/>
      <c r="T214" s="170"/>
      <c r="AT214" s="164" t="s">
        <v>138</v>
      </c>
      <c r="AU214" s="164" t="s">
        <v>128</v>
      </c>
      <c r="AV214" s="14" t="s">
        <v>127</v>
      </c>
      <c r="AW214" s="14" t="s">
        <v>32</v>
      </c>
      <c r="AX214" s="14" t="s">
        <v>85</v>
      </c>
      <c r="AY214" s="164" t="s">
        <v>121</v>
      </c>
    </row>
    <row r="215" spans="1:65" s="2" customFormat="1" ht="24.2" customHeight="1">
      <c r="A215" s="31"/>
      <c r="B215" s="139"/>
      <c r="C215" s="140" t="s">
        <v>207</v>
      </c>
      <c r="D215" s="140" t="s">
        <v>123</v>
      </c>
      <c r="E215" s="141" t="s">
        <v>306</v>
      </c>
      <c r="F215" s="142" t="s">
        <v>307</v>
      </c>
      <c r="G215" s="143" t="s">
        <v>172</v>
      </c>
      <c r="H215" s="144">
        <v>6</v>
      </c>
      <c r="I215" s="144"/>
      <c r="J215" s="145">
        <f t="shared" ref="J215:J221" si="0">ROUND(I215*H215,3)</f>
        <v>0</v>
      </c>
      <c r="K215" s="146"/>
      <c r="L215" s="32"/>
      <c r="M215" s="147" t="s">
        <v>1</v>
      </c>
      <c r="N215" s="148" t="s">
        <v>43</v>
      </c>
      <c r="O215" s="57"/>
      <c r="P215" s="149">
        <f t="shared" ref="P215:P221" si="1">O215*H215</f>
        <v>0</v>
      </c>
      <c r="Q215" s="149">
        <v>2.9999999999999997E-4</v>
      </c>
      <c r="R215" s="149">
        <f t="shared" ref="R215:R221" si="2">Q215*H215</f>
        <v>1.8E-3</v>
      </c>
      <c r="S215" s="149">
        <v>5.3999999999999999E-2</v>
      </c>
      <c r="T215" s="150">
        <f t="shared" ref="T215:T221" si="3">S215*H215</f>
        <v>0.32400000000000001</v>
      </c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R215" s="151" t="s">
        <v>127</v>
      </c>
      <c r="AT215" s="151" t="s">
        <v>123</v>
      </c>
      <c r="AU215" s="151" t="s">
        <v>128</v>
      </c>
      <c r="AY215" s="16" t="s">
        <v>121</v>
      </c>
      <c r="BE215" s="152">
        <f t="shared" ref="BE215:BE221" si="4">IF(N215="základná",J215,0)</f>
        <v>0</v>
      </c>
      <c r="BF215" s="152">
        <f t="shared" ref="BF215:BF221" si="5">IF(N215="znížená",J215,0)</f>
        <v>0</v>
      </c>
      <c r="BG215" s="152">
        <f t="shared" ref="BG215:BG221" si="6">IF(N215="zákl. prenesená",J215,0)</f>
        <v>0</v>
      </c>
      <c r="BH215" s="152">
        <f t="shared" ref="BH215:BH221" si="7">IF(N215="zníž. prenesená",J215,0)</f>
        <v>0</v>
      </c>
      <c r="BI215" s="152">
        <f t="shared" ref="BI215:BI221" si="8">IF(N215="nulová",J215,0)</f>
        <v>0</v>
      </c>
      <c r="BJ215" s="16" t="s">
        <v>128</v>
      </c>
      <c r="BK215" s="153">
        <f t="shared" ref="BK215:BK221" si="9">ROUND(I215*H215,3)</f>
        <v>0</v>
      </c>
      <c r="BL215" s="16" t="s">
        <v>127</v>
      </c>
      <c r="BM215" s="151" t="s">
        <v>308</v>
      </c>
    </row>
    <row r="216" spans="1:65" s="2" customFormat="1" ht="24.2" customHeight="1">
      <c r="A216" s="31"/>
      <c r="B216" s="139"/>
      <c r="C216" s="140" t="s">
        <v>309</v>
      </c>
      <c r="D216" s="140" t="s">
        <v>123</v>
      </c>
      <c r="E216" s="141" t="s">
        <v>310</v>
      </c>
      <c r="F216" s="142" t="s">
        <v>311</v>
      </c>
      <c r="G216" s="143" t="s">
        <v>212</v>
      </c>
      <c r="H216" s="144">
        <v>1.046</v>
      </c>
      <c r="I216" s="144"/>
      <c r="J216" s="145">
        <f t="shared" si="0"/>
        <v>0</v>
      </c>
      <c r="K216" s="146"/>
      <c r="L216" s="32"/>
      <c r="M216" s="147" t="s">
        <v>1</v>
      </c>
      <c r="N216" s="148" t="s">
        <v>43</v>
      </c>
      <c r="O216" s="57"/>
      <c r="P216" s="149">
        <f t="shared" si="1"/>
        <v>0</v>
      </c>
      <c r="Q216" s="149">
        <v>0</v>
      </c>
      <c r="R216" s="149">
        <f t="shared" si="2"/>
        <v>0</v>
      </c>
      <c r="S216" s="149">
        <v>0</v>
      </c>
      <c r="T216" s="150">
        <f t="shared" si="3"/>
        <v>0</v>
      </c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R216" s="151" t="s">
        <v>127</v>
      </c>
      <c r="AT216" s="151" t="s">
        <v>123</v>
      </c>
      <c r="AU216" s="151" t="s">
        <v>128</v>
      </c>
      <c r="AY216" s="16" t="s">
        <v>121</v>
      </c>
      <c r="BE216" s="152">
        <f t="shared" si="4"/>
        <v>0</v>
      </c>
      <c r="BF216" s="152">
        <f t="shared" si="5"/>
        <v>0</v>
      </c>
      <c r="BG216" s="152">
        <f t="shared" si="6"/>
        <v>0</v>
      </c>
      <c r="BH216" s="152">
        <f t="shared" si="7"/>
        <v>0</v>
      </c>
      <c r="BI216" s="152">
        <f t="shared" si="8"/>
        <v>0</v>
      </c>
      <c r="BJ216" s="16" t="s">
        <v>128</v>
      </c>
      <c r="BK216" s="153">
        <f t="shared" si="9"/>
        <v>0</v>
      </c>
      <c r="BL216" s="16" t="s">
        <v>127</v>
      </c>
      <c r="BM216" s="151" t="s">
        <v>312</v>
      </c>
    </row>
    <row r="217" spans="1:65" s="2" customFormat="1" ht="14.45" customHeight="1">
      <c r="A217" s="31"/>
      <c r="B217" s="139"/>
      <c r="C217" s="140" t="s">
        <v>213</v>
      </c>
      <c r="D217" s="140" t="s">
        <v>123</v>
      </c>
      <c r="E217" s="141" t="s">
        <v>313</v>
      </c>
      <c r="F217" s="142" t="s">
        <v>314</v>
      </c>
      <c r="G217" s="143" t="s">
        <v>212</v>
      </c>
      <c r="H217" s="144">
        <v>4.2699999999999996</v>
      </c>
      <c r="I217" s="144"/>
      <c r="J217" s="145">
        <f t="shared" si="0"/>
        <v>0</v>
      </c>
      <c r="K217" s="146"/>
      <c r="L217" s="32"/>
      <c r="M217" s="147" t="s">
        <v>1</v>
      </c>
      <c r="N217" s="148" t="s">
        <v>43</v>
      </c>
      <c r="O217" s="57"/>
      <c r="P217" s="149">
        <f t="shared" si="1"/>
        <v>0</v>
      </c>
      <c r="Q217" s="149">
        <v>0</v>
      </c>
      <c r="R217" s="149">
        <f t="shared" si="2"/>
        <v>0</v>
      </c>
      <c r="S217" s="149">
        <v>0</v>
      </c>
      <c r="T217" s="150">
        <f t="shared" si="3"/>
        <v>0</v>
      </c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R217" s="151" t="s">
        <v>127</v>
      </c>
      <c r="AT217" s="151" t="s">
        <v>123</v>
      </c>
      <c r="AU217" s="151" t="s">
        <v>128</v>
      </c>
      <c r="AY217" s="16" t="s">
        <v>121</v>
      </c>
      <c r="BE217" s="152">
        <f t="shared" si="4"/>
        <v>0</v>
      </c>
      <c r="BF217" s="152">
        <f t="shared" si="5"/>
        <v>0</v>
      </c>
      <c r="BG217" s="152">
        <f t="shared" si="6"/>
        <v>0</v>
      </c>
      <c r="BH217" s="152">
        <f t="shared" si="7"/>
        <v>0</v>
      </c>
      <c r="BI217" s="152">
        <f t="shared" si="8"/>
        <v>0</v>
      </c>
      <c r="BJ217" s="16" t="s">
        <v>128</v>
      </c>
      <c r="BK217" s="153">
        <f t="shared" si="9"/>
        <v>0</v>
      </c>
      <c r="BL217" s="16" t="s">
        <v>127</v>
      </c>
      <c r="BM217" s="151" t="s">
        <v>315</v>
      </c>
    </row>
    <row r="218" spans="1:65" s="2" customFormat="1" ht="24.2" customHeight="1">
      <c r="A218" s="31"/>
      <c r="B218" s="139"/>
      <c r="C218" s="140" t="s">
        <v>316</v>
      </c>
      <c r="D218" s="140" t="s">
        <v>123</v>
      </c>
      <c r="E218" s="141" t="s">
        <v>317</v>
      </c>
      <c r="F218" s="142" t="s">
        <v>318</v>
      </c>
      <c r="G218" s="143" t="s">
        <v>212</v>
      </c>
      <c r="H218" s="144">
        <v>4.2699999999999996</v>
      </c>
      <c r="I218" s="144"/>
      <c r="J218" s="145">
        <f t="shared" si="0"/>
        <v>0</v>
      </c>
      <c r="K218" s="146"/>
      <c r="L218" s="32"/>
      <c r="M218" s="147" t="s">
        <v>1</v>
      </c>
      <c r="N218" s="148" t="s">
        <v>43</v>
      </c>
      <c r="O218" s="57"/>
      <c r="P218" s="149">
        <f t="shared" si="1"/>
        <v>0</v>
      </c>
      <c r="Q218" s="149">
        <v>0</v>
      </c>
      <c r="R218" s="149">
        <f t="shared" si="2"/>
        <v>0</v>
      </c>
      <c r="S218" s="149">
        <v>0</v>
      </c>
      <c r="T218" s="150">
        <f t="shared" si="3"/>
        <v>0</v>
      </c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R218" s="151" t="s">
        <v>127</v>
      </c>
      <c r="AT218" s="151" t="s">
        <v>123</v>
      </c>
      <c r="AU218" s="151" t="s">
        <v>128</v>
      </c>
      <c r="AY218" s="16" t="s">
        <v>121</v>
      </c>
      <c r="BE218" s="152">
        <f t="shared" si="4"/>
        <v>0</v>
      </c>
      <c r="BF218" s="152">
        <f t="shared" si="5"/>
        <v>0</v>
      </c>
      <c r="BG218" s="152">
        <f t="shared" si="6"/>
        <v>0</v>
      </c>
      <c r="BH218" s="152">
        <f t="shared" si="7"/>
        <v>0</v>
      </c>
      <c r="BI218" s="152">
        <f t="shared" si="8"/>
        <v>0</v>
      </c>
      <c r="BJ218" s="16" t="s">
        <v>128</v>
      </c>
      <c r="BK218" s="153">
        <f t="shared" si="9"/>
        <v>0</v>
      </c>
      <c r="BL218" s="16" t="s">
        <v>127</v>
      </c>
      <c r="BM218" s="151" t="s">
        <v>319</v>
      </c>
    </row>
    <row r="219" spans="1:65" s="2" customFormat="1" ht="24.2" customHeight="1">
      <c r="A219" s="31"/>
      <c r="B219" s="139"/>
      <c r="C219" s="140" t="s">
        <v>320</v>
      </c>
      <c r="D219" s="140" t="s">
        <v>123</v>
      </c>
      <c r="E219" s="141" t="s">
        <v>321</v>
      </c>
      <c r="F219" s="142" t="s">
        <v>322</v>
      </c>
      <c r="G219" s="143" t="s">
        <v>212</v>
      </c>
      <c r="H219" s="144">
        <v>4.2699999999999996</v>
      </c>
      <c r="I219" s="144"/>
      <c r="J219" s="145">
        <f t="shared" si="0"/>
        <v>0</v>
      </c>
      <c r="K219" s="146"/>
      <c r="L219" s="32"/>
      <c r="M219" s="147" t="s">
        <v>1</v>
      </c>
      <c r="N219" s="148" t="s">
        <v>43</v>
      </c>
      <c r="O219" s="57"/>
      <c r="P219" s="149">
        <f t="shared" si="1"/>
        <v>0</v>
      </c>
      <c r="Q219" s="149">
        <v>0</v>
      </c>
      <c r="R219" s="149">
        <f t="shared" si="2"/>
        <v>0</v>
      </c>
      <c r="S219" s="149">
        <v>0</v>
      </c>
      <c r="T219" s="150">
        <f t="shared" si="3"/>
        <v>0</v>
      </c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R219" s="151" t="s">
        <v>127</v>
      </c>
      <c r="AT219" s="151" t="s">
        <v>123</v>
      </c>
      <c r="AU219" s="151" t="s">
        <v>128</v>
      </c>
      <c r="AY219" s="16" t="s">
        <v>121</v>
      </c>
      <c r="BE219" s="152">
        <f t="shared" si="4"/>
        <v>0</v>
      </c>
      <c r="BF219" s="152">
        <f t="shared" si="5"/>
        <v>0</v>
      </c>
      <c r="BG219" s="152">
        <f t="shared" si="6"/>
        <v>0</v>
      </c>
      <c r="BH219" s="152">
        <f t="shared" si="7"/>
        <v>0</v>
      </c>
      <c r="BI219" s="152">
        <f t="shared" si="8"/>
        <v>0</v>
      </c>
      <c r="BJ219" s="16" t="s">
        <v>128</v>
      </c>
      <c r="BK219" s="153">
        <f t="shared" si="9"/>
        <v>0</v>
      </c>
      <c r="BL219" s="16" t="s">
        <v>127</v>
      </c>
      <c r="BM219" s="151" t="s">
        <v>323</v>
      </c>
    </row>
    <row r="220" spans="1:65" s="2" customFormat="1" ht="24.2" customHeight="1">
      <c r="A220" s="31"/>
      <c r="B220" s="139"/>
      <c r="C220" s="140" t="s">
        <v>324</v>
      </c>
      <c r="D220" s="140" t="s">
        <v>123</v>
      </c>
      <c r="E220" s="141" t="s">
        <v>325</v>
      </c>
      <c r="F220" s="142" t="s">
        <v>326</v>
      </c>
      <c r="G220" s="143" t="s">
        <v>212</v>
      </c>
      <c r="H220" s="144">
        <v>3.9460000000000002</v>
      </c>
      <c r="I220" s="144"/>
      <c r="J220" s="145">
        <f t="shared" si="0"/>
        <v>0</v>
      </c>
      <c r="K220" s="146"/>
      <c r="L220" s="32"/>
      <c r="M220" s="147" t="s">
        <v>1</v>
      </c>
      <c r="N220" s="148" t="s">
        <v>43</v>
      </c>
      <c r="O220" s="57"/>
      <c r="P220" s="149">
        <f t="shared" si="1"/>
        <v>0</v>
      </c>
      <c r="Q220" s="149">
        <v>0</v>
      </c>
      <c r="R220" s="149">
        <f t="shared" si="2"/>
        <v>0</v>
      </c>
      <c r="S220" s="149">
        <v>0</v>
      </c>
      <c r="T220" s="150">
        <f t="shared" si="3"/>
        <v>0</v>
      </c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R220" s="151" t="s">
        <v>127</v>
      </c>
      <c r="AT220" s="151" t="s">
        <v>123</v>
      </c>
      <c r="AU220" s="151" t="s">
        <v>128</v>
      </c>
      <c r="AY220" s="16" t="s">
        <v>121</v>
      </c>
      <c r="BE220" s="152">
        <f t="shared" si="4"/>
        <v>0</v>
      </c>
      <c r="BF220" s="152">
        <f t="shared" si="5"/>
        <v>0</v>
      </c>
      <c r="BG220" s="152">
        <f t="shared" si="6"/>
        <v>0</v>
      </c>
      <c r="BH220" s="152">
        <f t="shared" si="7"/>
        <v>0</v>
      </c>
      <c r="BI220" s="152">
        <f t="shared" si="8"/>
        <v>0</v>
      </c>
      <c r="BJ220" s="16" t="s">
        <v>128</v>
      </c>
      <c r="BK220" s="153">
        <f t="shared" si="9"/>
        <v>0</v>
      </c>
      <c r="BL220" s="16" t="s">
        <v>127</v>
      </c>
      <c r="BM220" s="151" t="s">
        <v>327</v>
      </c>
    </row>
    <row r="221" spans="1:65" s="2" customFormat="1" ht="24.2" customHeight="1">
      <c r="A221" s="31"/>
      <c r="B221" s="139"/>
      <c r="C221" s="140" t="s">
        <v>223</v>
      </c>
      <c r="D221" s="140" t="s">
        <v>123</v>
      </c>
      <c r="E221" s="141" t="s">
        <v>328</v>
      </c>
      <c r="F221" s="142" t="s">
        <v>329</v>
      </c>
      <c r="G221" s="143" t="s">
        <v>212</v>
      </c>
      <c r="H221" s="144">
        <v>1.046</v>
      </c>
      <c r="I221" s="144"/>
      <c r="J221" s="145">
        <f t="shared" si="0"/>
        <v>0</v>
      </c>
      <c r="K221" s="146"/>
      <c r="L221" s="32"/>
      <c r="M221" s="147" t="s">
        <v>1</v>
      </c>
      <c r="N221" s="148" t="s">
        <v>43</v>
      </c>
      <c r="O221" s="57"/>
      <c r="P221" s="149">
        <f t="shared" si="1"/>
        <v>0</v>
      </c>
      <c r="Q221" s="149">
        <v>0</v>
      </c>
      <c r="R221" s="149">
        <f t="shared" si="2"/>
        <v>0</v>
      </c>
      <c r="S221" s="149">
        <v>0</v>
      </c>
      <c r="T221" s="150">
        <f t="shared" si="3"/>
        <v>0</v>
      </c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R221" s="151" t="s">
        <v>127</v>
      </c>
      <c r="AT221" s="151" t="s">
        <v>123</v>
      </c>
      <c r="AU221" s="151" t="s">
        <v>128</v>
      </c>
      <c r="AY221" s="16" t="s">
        <v>121</v>
      </c>
      <c r="BE221" s="152">
        <f t="shared" si="4"/>
        <v>0</v>
      </c>
      <c r="BF221" s="152">
        <f t="shared" si="5"/>
        <v>0</v>
      </c>
      <c r="BG221" s="152">
        <f t="shared" si="6"/>
        <v>0</v>
      </c>
      <c r="BH221" s="152">
        <f t="shared" si="7"/>
        <v>0</v>
      </c>
      <c r="BI221" s="152">
        <f t="shared" si="8"/>
        <v>0</v>
      </c>
      <c r="BJ221" s="16" t="s">
        <v>128</v>
      </c>
      <c r="BK221" s="153">
        <f t="shared" si="9"/>
        <v>0</v>
      </c>
      <c r="BL221" s="16" t="s">
        <v>127</v>
      </c>
      <c r="BM221" s="151" t="s">
        <v>330</v>
      </c>
    </row>
    <row r="222" spans="1:65" s="12" customFormat="1" ht="22.9" customHeight="1">
      <c r="B222" s="126"/>
      <c r="D222" s="127" t="s">
        <v>76</v>
      </c>
      <c r="E222" s="137" t="s">
        <v>165</v>
      </c>
      <c r="F222" s="137" t="s">
        <v>331</v>
      </c>
      <c r="I222" s="129"/>
      <c r="J222" s="138">
        <f>BK222</f>
        <v>0</v>
      </c>
      <c r="L222" s="126"/>
      <c r="M222" s="131"/>
      <c r="N222" s="132"/>
      <c r="O222" s="132"/>
      <c r="P222" s="133">
        <f>SUM(P223:P225)</f>
        <v>0</v>
      </c>
      <c r="Q222" s="132"/>
      <c r="R222" s="133">
        <f>SUM(R223:R225)</f>
        <v>0</v>
      </c>
      <c r="S222" s="132"/>
      <c r="T222" s="134">
        <f>SUM(T223:T225)</f>
        <v>0</v>
      </c>
      <c r="AR222" s="127" t="s">
        <v>85</v>
      </c>
      <c r="AT222" s="135" t="s">
        <v>76</v>
      </c>
      <c r="AU222" s="135" t="s">
        <v>85</v>
      </c>
      <c r="AY222" s="127" t="s">
        <v>121</v>
      </c>
      <c r="BK222" s="136">
        <f>SUM(BK223:BK225)</f>
        <v>0</v>
      </c>
    </row>
    <row r="223" spans="1:65" s="2" customFormat="1" ht="14.45" customHeight="1">
      <c r="A223" s="31"/>
      <c r="B223" s="139"/>
      <c r="C223" s="140" t="s">
        <v>332</v>
      </c>
      <c r="D223" s="140" t="s">
        <v>123</v>
      </c>
      <c r="E223" s="141" t="s">
        <v>333</v>
      </c>
      <c r="F223" s="142" t="s">
        <v>334</v>
      </c>
      <c r="G223" s="143" t="s">
        <v>172</v>
      </c>
      <c r="H223" s="144">
        <v>14</v>
      </c>
      <c r="I223" s="144"/>
      <c r="J223" s="145">
        <f>ROUND(I223*H223,3)</f>
        <v>0</v>
      </c>
      <c r="K223" s="146"/>
      <c r="L223" s="32"/>
      <c r="M223" s="147" t="s">
        <v>1</v>
      </c>
      <c r="N223" s="148" t="s">
        <v>43</v>
      </c>
      <c r="O223" s="57"/>
      <c r="P223" s="149">
        <f>O223*H223</f>
        <v>0</v>
      </c>
      <c r="Q223" s="149">
        <v>0</v>
      </c>
      <c r="R223" s="149">
        <f>Q223*H223</f>
        <v>0</v>
      </c>
      <c r="S223" s="149">
        <v>0</v>
      </c>
      <c r="T223" s="150">
        <f>S223*H223</f>
        <v>0</v>
      </c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R223" s="151" t="s">
        <v>127</v>
      </c>
      <c r="AT223" s="151" t="s">
        <v>123</v>
      </c>
      <c r="AU223" s="151" t="s">
        <v>128</v>
      </c>
      <c r="AY223" s="16" t="s">
        <v>121</v>
      </c>
      <c r="BE223" s="152">
        <f>IF(N223="základná",J223,0)</f>
        <v>0</v>
      </c>
      <c r="BF223" s="152">
        <f>IF(N223="znížená",J223,0)</f>
        <v>0</v>
      </c>
      <c r="BG223" s="152">
        <f>IF(N223="zákl. prenesená",J223,0)</f>
        <v>0</v>
      </c>
      <c r="BH223" s="152">
        <f>IF(N223="zníž. prenesená",J223,0)</f>
        <v>0</v>
      </c>
      <c r="BI223" s="152">
        <f>IF(N223="nulová",J223,0)</f>
        <v>0</v>
      </c>
      <c r="BJ223" s="16" t="s">
        <v>128</v>
      </c>
      <c r="BK223" s="153">
        <f>ROUND(I223*H223,3)</f>
        <v>0</v>
      </c>
      <c r="BL223" s="16" t="s">
        <v>127</v>
      </c>
      <c r="BM223" s="151" t="s">
        <v>335</v>
      </c>
    </row>
    <row r="224" spans="1:65" s="2" customFormat="1" ht="14.45" customHeight="1">
      <c r="A224" s="31"/>
      <c r="B224" s="139"/>
      <c r="C224" s="171" t="s">
        <v>228</v>
      </c>
      <c r="D224" s="171" t="s">
        <v>191</v>
      </c>
      <c r="E224" s="172" t="s">
        <v>336</v>
      </c>
      <c r="F224" s="173" t="s">
        <v>337</v>
      </c>
      <c r="G224" s="174" t="s">
        <v>281</v>
      </c>
      <c r="H224" s="175">
        <v>428</v>
      </c>
      <c r="I224" s="175"/>
      <c r="J224" s="176">
        <f>ROUND(I224*H224,3)</f>
        <v>0</v>
      </c>
      <c r="K224" s="177"/>
      <c r="L224" s="178"/>
      <c r="M224" s="179" t="s">
        <v>1</v>
      </c>
      <c r="N224" s="180" t="s">
        <v>43</v>
      </c>
      <c r="O224" s="57"/>
      <c r="P224" s="149">
        <f>O224*H224</f>
        <v>0</v>
      </c>
      <c r="Q224" s="149">
        <v>0</v>
      </c>
      <c r="R224" s="149">
        <f>Q224*H224</f>
        <v>0</v>
      </c>
      <c r="S224" s="149">
        <v>0</v>
      </c>
      <c r="T224" s="150">
        <f>S224*H224</f>
        <v>0</v>
      </c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R224" s="151" t="s">
        <v>132</v>
      </c>
      <c r="AT224" s="151" t="s">
        <v>191</v>
      </c>
      <c r="AU224" s="151" t="s">
        <v>128</v>
      </c>
      <c r="AY224" s="16" t="s">
        <v>121</v>
      </c>
      <c r="BE224" s="152">
        <f>IF(N224="základná",J224,0)</f>
        <v>0</v>
      </c>
      <c r="BF224" s="152">
        <f>IF(N224="znížená",J224,0)</f>
        <v>0</v>
      </c>
      <c r="BG224" s="152">
        <f>IF(N224="zákl. prenesená",J224,0)</f>
        <v>0</v>
      </c>
      <c r="BH224" s="152">
        <f>IF(N224="zníž. prenesená",J224,0)</f>
        <v>0</v>
      </c>
      <c r="BI224" s="152">
        <f>IF(N224="nulová",J224,0)</f>
        <v>0</v>
      </c>
      <c r="BJ224" s="16" t="s">
        <v>128</v>
      </c>
      <c r="BK224" s="153">
        <f>ROUND(I224*H224,3)</f>
        <v>0</v>
      </c>
      <c r="BL224" s="16" t="s">
        <v>127</v>
      </c>
      <c r="BM224" s="151" t="s">
        <v>338</v>
      </c>
    </row>
    <row r="225" spans="1:65" s="13" customFormat="1">
      <c r="B225" s="154"/>
      <c r="D225" s="155" t="s">
        <v>138</v>
      </c>
      <c r="E225" s="156" t="s">
        <v>1</v>
      </c>
      <c r="F225" s="157" t="s">
        <v>339</v>
      </c>
      <c r="H225" s="158">
        <v>428</v>
      </c>
      <c r="I225" s="159"/>
      <c r="L225" s="154"/>
      <c r="M225" s="160"/>
      <c r="N225" s="161"/>
      <c r="O225" s="161"/>
      <c r="P225" s="161"/>
      <c r="Q225" s="161"/>
      <c r="R225" s="161"/>
      <c r="S225" s="161"/>
      <c r="T225" s="162"/>
      <c r="AT225" s="156" t="s">
        <v>138</v>
      </c>
      <c r="AU225" s="156" t="s">
        <v>128</v>
      </c>
      <c r="AV225" s="13" t="s">
        <v>128</v>
      </c>
      <c r="AW225" s="13" t="s">
        <v>32</v>
      </c>
      <c r="AX225" s="13" t="s">
        <v>85</v>
      </c>
      <c r="AY225" s="156" t="s">
        <v>121</v>
      </c>
    </row>
    <row r="226" spans="1:65" s="12" customFormat="1" ht="22.9" customHeight="1">
      <c r="B226" s="126"/>
      <c r="D226" s="127" t="s">
        <v>76</v>
      </c>
      <c r="E226" s="137" t="s">
        <v>340</v>
      </c>
      <c r="F226" s="137" t="s">
        <v>341</v>
      </c>
      <c r="I226" s="129"/>
      <c r="J226" s="138">
        <f>BK226</f>
        <v>0</v>
      </c>
      <c r="L226" s="126"/>
      <c r="M226" s="131"/>
      <c r="N226" s="132"/>
      <c r="O226" s="132"/>
      <c r="P226" s="133">
        <f>SUM(P227:P230)</f>
        <v>0</v>
      </c>
      <c r="Q226" s="132"/>
      <c r="R226" s="133">
        <f>SUM(R227:R230)</f>
        <v>0</v>
      </c>
      <c r="S226" s="132"/>
      <c r="T226" s="134">
        <f>SUM(T227:T230)</f>
        <v>0</v>
      </c>
      <c r="AR226" s="127" t="s">
        <v>127</v>
      </c>
      <c r="AT226" s="135" t="s">
        <v>76</v>
      </c>
      <c r="AU226" s="135" t="s">
        <v>85</v>
      </c>
      <c r="AY226" s="127" t="s">
        <v>121</v>
      </c>
      <c r="BK226" s="136">
        <f>SUM(BK227:BK230)</f>
        <v>0</v>
      </c>
    </row>
    <row r="227" spans="1:65" s="2" customFormat="1" ht="24.2" customHeight="1">
      <c r="A227" s="31"/>
      <c r="B227" s="139"/>
      <c r="C227" s="140" t="s">
        <v>342</v>
      </c>
      <c r="D227" s="140" t="s">
        <v>123</v>
      </c>
      <c r="E227" s="141" t="s">
        <v>343</v>
      </c>
      <c r="F227" s="142" t="s">
        <v>344</v>
      </c>
      <c r="G227" s="143" t="s">
        <v>188</v>
      </c>
      <c r="H227" s="144">
        <v>2</v>
      </c>
      <c r="I227" s="144"/>
      <c r="J227" s="145">
        <f>ROUND(I227*H227,3)</f>
        <v>0</v>
      </c>
      <c r="K227" s="146"/>
      <c r="L227" s="32"/>
      <c r="M227" s="147" t="s">
        <v>1</v>
      </c>
      <c r="N227" s="148" t="s">
        <v>43</v>
      </c>
      <c r="O227" s="57"/>
      <c r="P227" s="149">
        <f>O227*H227</f>
        <v>0</v>
      </c>
      <c r="Q227" s="149">
        <v>0</v>
      </c>
      <c r="R227" s="149">
        <f>Q227*H227</f>
        <v>0</v>
      </c>
      <c r="S227" s="149">
        <v>0</v>
      </c>
      <c r="T227" s="150">
        <f>S227*H227</f>
        <v>0</v>
      </c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R227" s="151" t="s">
        <v>345</v>
      </c>
      <c r="AT227" s="151" t="s">
        <v>123</v>
      </c>
      <c r="AU227" s="151" t="s">
        <v>128</v>
      </c>
      <c r="AY227" s="16" t="s">
        <v>121</v>
      </c>
      <c r="BE227" s="152">
        <f>IF(N227="základná",J227,0)</f>
        <v>0</v>
      </c>
      <c r="BF227" s="152">
        <f>IF(N227="znížená",J227,0)</f>
        <v>0</v>
      </c>
      <c r="BG227" s="152">
        <f>IF(N227="zákl. prenesená",J227,0)</f>
        <v>0</v>
      </c>
      <c r="BH227" s="152">
        <f>IF(N227="zníž. prenesená",J227,0)</f>
        <v>0</v>
      </c>
      <c r="BI227" s="152">
        <f>IF(N227="nulová",J227,0)</f>
        <v>0</v>
      </c>
      <c r="BJ227" s="16" t="s">
        <v>128</v>
      </c>
      <c r="BK227" s="153">
        <f>ROUND(I227*H227,3)</f>
        <v>0</v>
      </c>
      <c r="BL227" s="16" t="s">
        <v>345</v>
      </c>
      <c r="BM227" s="151" t="s">
        <v>346</v>
      </c>
    </row>
    <row r="228" spans="1:65" s="2" customFormat="1" ht="24.2" customHeight="1">
      <c r="A228" s="31"/>
      <c r="B228" s="139"/>
      <c r="C228" s="171" t="s">
        <v>232</v>
      </c>
      <c r="D228" s="171" t="s">
        <v>191</v>
      </c>
      <c r="E228" s="172" t="s">
        <v>347</v>
      </c>
      <c r="F228" s="173" t="s">
        <v>348</v>
      </c>
      <c r="G228" s="174" t="s">
        <v>188</v>
      </c>
      <c r="H228" s="175">
        <v>2</v>
      </c>
      <c r="I228" s="175"/>
      <c r="J228" s="176">
        <f>ROUND(I228*H228,3)</f>
        <v>0</v>
      </c>
      <c r="K228" s="177"/>
      <c r="L228" s="178"/>
      <c r="M228" s="179" t="s">
        <v>1</v>
      </c>
      <c r="N228" s="180" t="s">
        <v>43</v>
      </c>
      <c r="O228" s="57"/>
      <c r="P228" s="149">
        <f>O228*H228</f>
        <v>0</v>
      </c>
      <c r="Q228" s="149">
        <v>0</v>
      </c>
      <c r="R228" s="149">
        <f>Q228*H228</f>
        <v>0</v>
      </c>
      <c r="S228" s="149">
        <v>0</v>
      </c>
      <c r="T228" s="150">
        <f>S228*H228</f>
        <v>0</v>
      </c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R228" s="151" t="s">
        <v>345</v>
      </c>
      <c r="AT228" s="151" t="s">
        <v>191</v>
      </c>
      <c r="AU228" s="151" t="s">
        <v>128</v>
      </c>
      <c r="AY228" s="16" t="s">
        <v>121</v>
      </c>
      <c r="BE228" s="152">
        <f>IF(N228="základná",J228,0)</f>
        <v>0</v>
      </c>
      <c r="BF228" s="152">
        <f>IF(N228="znížená",J228,0)</f>
        <v>0</v>
      </c>
      <c r="BG228" s="152">
        <f>IF(N228="zákl. prenesená",J228,0)</f>
        <v>0</v>
      </c>
      <c r="BH228" s="152">
        <f>IF(N228="zníž. prenesená",J228,0)</f>
        <v>0</v>
      </c>
      <c r="BI228" s="152">
        <f>IF(N228="nulová",J228,0)</f>
        <v>0</v>
      </c>
      <c r="BJ228" s="16" t="s">
        <v>128</v>
      </c>
      <c r="BK228" s="153">
        <f>ROUND(I228*H228,3)</f>
        <v>0</v>
      </c>
      <c r="BL228" s="16" t="s">
        <v>345</v>
      </c>
      <c r="BM228" s="151" t="s">
        <v>349</v>
      </c>
    </row>
    <row r="229" spans="1:65" s="2" customFormat="1" ht="24.2" customHeight="1">
      <c r="A229" s="31"/>
      <c r="B229" s="139"/>
      <c r="C229" s="140" t="s">
        <v>350</v>
      </c>
      <c r="D229" s="140" t="s">
        <v>123</v>
      </c>
      <c r="E229" s="141" t="s">
        <v>351</v>
      </c>
      <c r="F229" s="142" t="s">
        <v>352</v>
      </c>
      <c r="G229" s="143" t="s">
        <v>188</v>
      </c>
      <c r="H229" s="144">
        <v>6</v>
      </c>
      <c r="I229" s="144"/>
      <c r="J229" s="145">
        <f>ROUND(I229*H229,3)</f>
        <v>0</v>
      </c>
      <c r="K229" s="146"/>
      <c r="L229" s="32"/>
      <c r="M229" s="147" t="s">
        <v>1</v>
      </c>
      <c r="N229" s="148" t="s">
        <v>43</v>
      </c>
      <c r="O229" s="57"/>
      <c r="P229" s="149">
        <f>O229*H229</f>
        <v>0</v>
      </c>
      <c r="Q229" s="149">
        <v>0</v>
      </c>
      <c r="R229" s="149">
        <f>Q229*H229</f>
        <v>0</v>
      </c>
      <c r="S229" s="149">
        <v>0</v>
      </c>
      <c r="T229" s="150">
        <f>S229*H229</f>
        <v>0</v>
      </c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R229" s="151" t="s">
        <v>345</v>
      </c>
      <c r="AT229" s="151" t="s">
        <v>123</v>
      </c>
      <c r="AU229" s="151" t="s">
        <v>128</v>
      </c>
      <c r="AY229" s="16" t="s">
        <v>121</v>
      </c>
      <c r="BE229" s="152">
        <f>IF(N229="základná",J229,0)</f>
        <v>0</v>
      </c>
      <c r="BF229" s="152">
        <f>IF(N229="znížená",J229,0)</f>
        <v>0</v>
      </c>
      <c r="BG229" s="152">
        <f>IF(N229="zákl. prenesená",J229,0)</f>
        <v>0</v>
      </c>
      <c r="BH229" s="152">
        <f>IF(N229="zníž. prenesená",J229,0)</f>
        <v>0</v>
      </c>
      <c r="BI229" s="152">
        <f>IF(N229="nulová",J229,0)</f>
        <v>0</v>
      </c>
      <c r="BJ229" s="16" t="s">
        <v>128</v>
      </c>
      <c r="BK229" s="153">
        <f>ROUND(I229*H229,3)</f>
        <v>0</v>
      </c>
      <c r="BL229" s="16" t="s">
        <v>345</v>
      </c>
      <c r="BM229" s="151" t="s">
        <v>353</v>
      </c>
    </row>
    <row r="230" spans="1:65" s="2" customFormat="1" ht="37.9" customHeight="1">
      <c r="A230" s="31"/>
      <c r="B230" s="139"/>
      <c r="C230" s="171" t="s">
        <v>354</v>
      </c>
      <c r="D230" s="171" t="s">
        <v>191</v>
      </c>
      <c r="E230" s="172" t="s">
        <v>355</v>
      </c>
      <c r="F230" s="173" t="s">
        <v>356</v>
      </c>
      <c r="G230" s="174" t="s">
        <v>188</v>
      </c>
      <c r="H230" s="175">
        <v>6</v>
      </c>
      <c r="I230" s="175"/>
      <c r="J230" s="176">
        <f>ROUND(I230*H230,3)</f>
        <v>0</v>
      </c>
      <c r="K230" s="177"/>
      <c r="L230" s="178"/>
      <c r="M230" s="179" t="s">
        <v>1</v>
      </c>
      <c r="N230" s="180" t="s">
        <v>43</v>
      </c>
      <c r="O230" s="57"/>
      <c r="P230" s="149">
        <f>O230*H230</f>
        <v>0</v>
      </c>
      <c r="Q230" s="149">
        <v>0</v>
      </c>
      <c r="R230" s="149">
        <f>Q230*H230</f>
        <v>0</v>
      </c>
      <c r="S230" s="149">
        <v>0</v>
      </c>
      <c r="T230" s="150">
        <f>S230*H230</f>
        <v>0</v>
      </c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R230" s="151" t="s">
        <v>345</v>
      </c>
      <c r="AT230" s="151" t="s">
        <v>191</v>
      </c>
      <c r="AU230" s="151" t="s">
        <v>128</v>
      </c>
      <c r="AY230" s="16" t="s">
        <v>121</v>
      </c>
      <c r="BE230" s="152">
        <f>IF(N230="základná",J230,0)</f>
        <v>0</v>
      </c>
      <c r="BF230" s="152">
        <f>IF(N230="znížená",J230,0)</f>
        <v>0</v>
      </c>
      <c r="BG230" s="152">
        <f>IF(N230="zákl. prenesená",J230,0)</f>
        <v>0</v>
      </c>
      <c r="BH230" s="152">
        <f>IF(N230="zníž. prenesená",J230,0)</f>
        <v>0</v>
      </c>
      <c r="BI230" s="152">
        <f>IF(N230="nulová",J230,0)</f>
        <v>0</v>
      </c>
      <c r="BJ230" s="16" t="s">
        <v>128</v>
      </c>
      <c r="BK230" s="153">
        <f>ROUND(I230*H230,3)</f>
        <v>0</v>
      </c>
      <c r="BL230" s="16" t="s">
        <v>345</v>
      </c>
      <c r="BM230" s="151" t="s">
        <v>357</v>
      </c>
    </row>
    <row r="231" spans="1:65" s="12" customFormat="1" ht="25.9" customHeight="1">
      <c r="B231" s="126"/>
      <c r="D231" s="127" t="s">
        <v>76</v>
      </c>
      <c r="E231" s="128" t="s">
        <v>358</v>
      </c>
      <c r="F231" s="128" t="s">
        <v>359</v>
      </c>
      <c r="I231" s="129"/>
      <c r="J231" s="130">
        <f>BK231</f>
        <v>0</v>
      </c>
      <c r="L231" s="126"/>
      <c r="M231" s="131"/>
      <c r="N231" s="132"/>
      <c r="O231" s="132"/>
      <c r="P231" s="133">
        <f>P232</f>
        <v>0</v>
      </c>
      <c r="Q231" s="132"/>
      <c r="R231" s="133">
        <f>R232</f>
        <v>0</v>
      </c>
      <c r="S231" s="132"/>
      <c r="T231" s="134">
        <f>T232</f>
        <v>0</v>
      </c>
      <c r="AR231" s="127" t="s">
        <v>128</v>
      </c>
      <c r="AT231" s="135" t="s">
        <v>76</v>
      </c>
      <c r="AU231" s="135" t="s">
        <v>77</v>
      </c>
      <c r="AY231" s="127" t="s">
        <v>121</v>
      </c>
      <c r="BK231" s="136">
        <f>BK232</f>
        <v>0</v>
      </c>
    </row>
    <row r="232" spans="1:65" s="12" customFormat="1" ht="22.9" customHeight="1">
      <c r="B232" s="126"/>
      <c r="D232" s="127" t="s">
        <v>76</v>
      </c>
      <c r="E232" s="137" t="s">
        <v>360</v>
      </c>
      <c r="F232" s="137" t="s">
        <v>361</v>
      </c>
      <c r="I232" s="129"/>
      <c r="J232" s="138">
        <f>BK232</f>
        <v>0</v>
      </c>
      <c r="L232" s="126"/>
      <c r="M232" s="131"/>
      <c r="N232" s="132"/>
      <c r="O232" s="132"/>
      <c r="P232" s="133">
        <f>SUM(P233:P236)</f>
        <v>0</v>
      </c>
      <c r="Q232" s="132"/>
      <c r="R232" s="133">
        <f>SUM(R233:R236)</f>
        <v>0</v>
      </c>
      <c r="S232" s="132"/>
      <c r="T232" s="134">
        <f>SUM(T233:T236)</f>
        <v>0</v>
      </c>
      <c r="AR232" s="127" t="s">
        <v>128</v>
      </c>
      <c r="AT232" s="135" t="s">
        <v>76</v>
      </c>
      <c r="AU232" s="135" t="s">
        <v>85</v>
      </c>
      <c r="AY232" s="127" t="s">
        <v>121</v>
      </c>
      <c r="BK232" s="136">
        <f>SUM(BK233:BK236)</f>
        <v>0</v>
      </c>
    </row>
    <row r="233" spans="1:65" s="2" customFormat="1" ht="24.2" customHeight="1">
      <c r="A233" s="31"/>
      <c r="B233" s="139"/>
      <c r="C233" s="140" t="s">
        <v>362</v>
      </c>
      <c r="D233" s="140" t="s">
        <v>123</v>
      </c>
      <c r="E233" s="141" t="s">
        <v>363</v>
      </c>
      <c r="F233" s="142" t="s">
        <v>364</v>
      </c>
      <c r="G233" s="143" t="s">
        <v>126</v>
      </c>
      <c r="H233" s="144">
        <v>30.8</v>
      </c>
      <c r="I233" s="144"/>
      <c r="J233" s="145">
        <f>ROUND(I233*H233,3)</f>
        <v>0</v>
      </c>
      <c r="K233" s="146"/>
      <c r="L233" s="32"/>
      <c r="M233" s="147" t="s">
        <v>1</v>
      </c>
      <c r="N233" s="148" t="s">
        <v>43</v>
      </c>
      <c r="O233" s="57"/>
      <c r="P233" s="149">
        <f>O233*H233</f>
        <v>0</v>
      </c>
      <c r="Q233" s="149">
        <v>0</v>
      </c>
      <c r="R233" s="149">
        <f>Q233*H233</f>
        <v>0</v>
      </c>
      <c r="S233" s="149">
        <v>0</v>
      </c>
      <c r="T233" s="150">
        <f>S233*H233</f>
        <v>0</v>
      </c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R233" s="151" t="s">
        <v>153</v>
      </c>
      <c r="AT233" s="151" t="s">
        <v>123</v>
      </c>
      <c r="AU233" s="151" t="s">
        <v>128</v>
      </c>
      <c r="AY233" s="16" t="s">
        <v>121</v>
      </c>
      <c r="BE233" s="152">
        <f>IF(N233="základná",J233,0)</f>
        <v>0</v>
      </c>
      <c r="BF233" s="152">
        <f>IF(N233="znížená",J233,0)</f>
        <v>0</v>
      </c>
      <c r="BG233" s="152">
        <f>IF(N233="zákl. prenesená",J233,0)</f>
        <v>0</v>
      </c>
      <c r="BH233" s="152">
        <f>IF(N233="zníž. prenesená",J233,0)</f>
        <v>0</v>
      </c>
      <c r="BI233" s="152">
        <f>IF(N233="nulová",J233,0)</f>
        <v>0</v>
      </c>
      <c r="BJ233" s="16" t="s">
        <v>128</v>
      </c>
      <c r="BK233" s="153">
        <f>ROUND(I233*H233,3)</f>
        <v>0</v>
      </c>
      <c r="BL233" s="16" t="s">
        <v>153</v>
      </c>
      <c r="BM233" s="151" t="s">
        <v>365</v>
      </c>
    </row>
    <row r="234" spans="1:65" s="13" customFormat="1">
      <c r="B234" s="154"/>
      <c r="D234" s="155" t="s">
        <v>138</v>
      </c>
      <c r="E234" s="156" t="s">
        <v>1</v>
      </c>
      <c r="F234" s="157" t="s">
        <v>366</v>
      </c>
      <c r="H234" s="158">
        <v>30.8</v>
      </c>
      <c r="I234" s="159"/>
      <c r="L234" s="154"/>
      <c r="M234" s="160"/>
      <c r="N234" s="161"/>
      <c r="O234" s="161"/>
      <c r="P234" s="161"/>
      <c r="Q234" s="161"/>
      <c r="R234" s="161"/>
      <c r="S234" s="161"/>
      <c r="T234" s="162"/>
      <c r="AT234" s="156" t="s">
        <v>138</v>
      </c>
      <c r="AU234" s="156" t="s">
        <v>128</v>
      </c>
      <c r="AV234" s="13" t="s">
        <v>128</v>
      </c>
      <c r="AW234" s="13" t="s">
        <v>32</v>
      </c>
      <c r="AX234" s="13" t="s">
        <v>85</v>
      </c>
      <c r="AY234" s="156" t="s">
        <v>121</v>
      </c>
    </row>
    <row r="235" spans="1:65" s="2" customFormat="1" ht="14.45" customHeight="1">
      <c r="A235" s="31"/>
      <c r="B235" s="139"/>
      <c r="C235" s="171" t="s">
        <v>367</v>
      </c>
      <c r="D235" s="171" t="s">
        <v>191</v>
      </c>
      <c r="E235" s="172" t="s">
        <v>368</v>
      </c>
      <c r="F235" s="173" t="s">
        <v>369</v>
      </c>
      <c r="G235" s="174" t="s">
        <v>281</v>
      </c>
      <c r="H235" s="175">
        <v>6.72</v>
      </c>
      <c r="I235" s="175"/>
      <c r="J235" s="176">
        <f>ROUND(I235*H235,3)</f>
        <v>0</v>
      </c>
      <c r="K235" s="177"/>
      <c r="L235" s="178"/>
      <c r="M235" s="179" t="s">
        <v>1</v>
      </c>
      <c r="N235" s="180" t="s">
        <v>43</v>
      </c>
      <c r="O235" s="57"/>
      <c r="P235" s="149">
        <f>O235*H235</f>
        <v>0</v>
      </c>
      <c r="Q235" s="149">
        <v>0</v>
      </c>
      <c r="R235" s="149">
        <f>Q235*H235</f>
        <v>0</v>
      </c>
      <c r="S235" s="149">
        <v>0</v>
      </c>
      <c r="T235" s="150">
        <f>S235*H235</f>
        <v>0</v>
      </c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R235" s="151" t="s">
        <v>194</v>
      </c>
      <c r="AT235" s="151" t="s">
        <v>191</v>
      </c>
      <c r="AU235" s="151" t="s">
        <v>128</v>
      </c>
      <c r="AY235" s="16" t="s">
        <v>121</v>
      </c>
      <c r="BE235" s="152">
        <f>IF(N235="základná",J235,0)</f>
        <v>0</v>
      </c>
      <c r="BF235" s="152">
        <f>IF(N235="znížená",J235,0)</f>
        <v>0</v>
      </c>
      <c r="BG235" s="152">
        <f>IF(N235="zákl. prenesená",J235,0)</f>
        <v>0</v>
      </c>
      <c r="BH235" s="152">
        <f>IF(N235="zníž. prenesená",J235,0)</f>
        <v>0</v>
      </c>
      <c r="BI235" s="152">
        <f>IF(N235="nulová",J235,0)</f>
        <v>0</v>
      </c>
      <c r="BJ235" s="16" t="s">
        <v>128</v>
      </c>
      <c r="BK235" s="153">
        <f>ROUND(I235*H235,3)</f>
        <v>0</v>
      </c>
      <c r="BL235" s="16" t="s">
        <v>153</v>
      </c>
      <c r="BM235" s="151" t="s">
        <v>370</v>
      </c>
    </row>
    <row r="236" spans="1:65" s="13" customFormat="1">
      <c r="B236" s="154"/>
      <c r="D236" s="155" t="s">
        <v>138</v>
      </c>
      <c r="E236" s="156" t="s">
        <v>1</v>
      </c>
      <c r="F236" s="157" t="s">
        <v>371</v>
      </c>
      <c r="H236" s="158">
        <v>6.72</v>
      </c>
      <c r="I236" s="159"/>
      <c r="L236" s="154"/>
      <c r="M236" s="181"/>
      <c r="N236" s="182"/>
      <c r="O236" s="182"/>
      <c r="P236" s="182"/>
      <c r="Q236" s="182"/>
      <c r="R236" s="182"/>
      <c r="S236" s="182"/>
      <c r="T236" s="183"/>
      <c r="AT236" s="156" t="s">
        <v>138</v>
      </c>
      <c r="AU236" s="156" t="s">
        <v>128</v>
      </c>
      <c r="AV236" s="13" t="s">
        <v>128</v>
      </c>
      <c r="AW236" s="13" t="s">
        <v>32</v>
      </c>
      <c r="AX236" s="13" t="s">
        <v>85</v>
      </c>
      <c r="AY236" s="156" t="s">
        <v>121</v>
      </c>
    </row>
    <row r="237" spans="1:65" s="2" customFormat="1" ht="6.95" customHeight="1">
      <c r="A237" s="31"/>
      <c r="B237" s="46"/>
      <c r="C237" s="47"/>
      <c r="D237" s="47"/>
      <c r="E237" s="47"/>
      <c r="F237" s="47"/>
      <c r="G237" s="47"/>
      <c r="H237" s="47"/>
      <c r="I237" s="47"/>
      <c r="J237" s="47"/>
      <c r="K237" s="47"/>
      <c r="L237" s="32"/>
      <c r="M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</row>
  </sheetData>
  <autoFilter ref="C125:K236"/>
  <mergeCells count="9">
    <mergeCell ref="E87:H87"/>
    <mergeCell ref="E116:H116"/>
    <mergeCell ref="E118:H118"/>
    <mergeCell ref="L2:V2"/>
    <mergeCell ref="E7:H7"/>
    <mergeCell ref="E9:H9"/>
    <mergeCell ref="E18:H18"/>
    <mergeCell ref="E27:H27"/>
    <mergeCell ref="E85:H85"/>
  </mergeCells>
  <pageMargins left="0.39374999999999999" right="0.39374999999999999" top="0.39374999999999999" bottom="0.39374999999999999" header="0" footer="0"/>
  <pageSetup paperSize="9" fitToHeight="100" orientation="portrait" blackAndWhite="1"/>
  <headerFooter>
    <oddFooter>&amp;CStrana &amp;P z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4</vt:i4>
      </vt:variant>
    </vt:vector>
  </HeadingPairs>
  <TitlesOfParts>
    <vt:vector size="5" baseType="lpstr">
      <vt:lpstr>SO-1 - Rekonštrukcia most...</vt:lpstr>
      <vt:lpstr>'Rekapitulácia stavby'!Názvy_tlače</vt:lpstr>
      <vt:lpstr>'SO-1 - Rekonštrukcia most...'!Názvy_tlače</vt:lpstr>
      <vt:lpstr>'Rekapitulácia stavby'!Oblasť_tlače</vt:lpstr>
      <vt:lpstr>'SO-1 - Rekonštrukcia most...'!Oblasť_tlače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Jarka-HP\Jarka</dc:creator>
  <cp:lastModifiedBy>Milos</cp:lastModifiedBy>
  <dcterms:created xsi:type="dcterms:W3CDTF">2021-02-05T10:43:06Z</dcterms:created>
  <dcterms:modified xsi:type="dcterms:W3CDTF">2021-09-13T19:34:14Z</dcterms:modified>
</cp:coreProperties>
</file>